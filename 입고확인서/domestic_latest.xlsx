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Heejin\국내\"/>
    </mc:Choice>
  </mc:AlternateContent>
  <xr:revisionPtr revIDLastSave="0" documentId="13_ncr:1_{52E9F436-88CA-4339-A515-2560C89D6ED6}" xr6:coauthVersionLast="47" xr6:coauthVersionMax="47" xr10:uidLastSave="{00000000-0000-0000-0000-000000000000}"/>
  <bookViews>
    <workbookView xWindow="28680" yWindow="-120" windowWidth="38640" windowHeight="21120" firstSheet="1" activeTab="1" xr2:uid="{5EEC3BEB-932C-4D2F-ADB5-6FFA860451B3}"/>
  </bookViews>
  <sheets>
    <sheet name="국내상품스케줄" sheetId="4" state="hidden" r:id="rId1"/>
    <sheet name="펫원" sheetId="1" r:id="rId2"/>
    <sheet name="원발란스" sheetId="2" r:id="rId3"/>
    <sheet name="샌드원" sheetId="5" r:id="rId4"/>
  </sheets>
  <definedNames>
    <definedName name="_xlnm._FilterDatabase" localSheetId="0" hidden="1">국내상품스케줄!$A$2:$F$17</definedName>
    <definedName name="_xlnm._FilterDatabase" localSheetId="1" hidden="1">펫원!$A$2:$DZ$62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5" i="2" l="1"/>
  <c r="BI7" i="2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3" i="1"/>
  <c r="DY62" i="1"/>
  <c r="BH7" i="2"/>
  <c r="BG7" i="2"/>
  <c r="BK4" i="2"/>
  <c r="BK3" i="2"/>
  <c r="DW34" i="1"/>
  <c r="DP34" i="1" l="1"/>
  <c r="DW24" i="1"/>
  <c r="DO62" i="1"/>
  <c r="DX62" i="1" l="1"/>
  <c r="DN14" i="1"/>
  <c r="DW14" i="1" s="1"/>
  <c r="DW46" i="1"/>
  <c r="DW44" i="1"/>
  <c r="DM62" i="1"/>
  <c r="DL62" i="1"/>
  <c r="DT42" i="1"/>
  <c r="DR3" i="1"/>
  <c r="BF7" i="2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C24" i="1"/>
  <c r="EC25" i="1"/>
  <c r="EC26" i="1"/>
  <c r="EC27" i="1"/>
  <c r="EC28" i="1"/>
  <c r="EC29" i="1"/>
  <c r="EC30" i="1"/>
  <c r="EC31" i="1"/>
  <c r="EC32" i="1"/>
  <c r="EC33" i="1"/>
  <c r="EC34" i="1"/>
  <c r="EC35" i="1"/>
  <c r="EC36" i="1"/>
  <c r="EC37" i="1"/>
  <c r="EC38" i="1"/>
  <c r="EC39" i="1"/>
  <c r="EC40" i="1"/>
  <c r="EC41" i="1"/>
  <c r="EC42" i="1"/>
  <c r="EC43" i="1"/>
  <c r="EC44" i="1"/>
  <c r="EC45" i="1"/>
  <c r="EC46" i="1"/>
  <c r="EC47" i="1"/>
  <c r="EC48" i="1"/>
  <c r="EC49" i="1"/>
  <c r="EC50" i="1"/>
  <c r="EC51" i="1"/>
  <c r="EC52" i="1"/>
  <c r="EC53" i="1"/>
  <c r="EC54" i="1"/>
  <c r="EC55" i="1"/>
  <c r="EC56" i="1"/>
  <c r="EC57" i="1"/>
  <c r="EC58" i="1"/>
  <c r="EC59" i="1"/>
  <c r="EC60" i="1"/>
  <c r="EC61" i="1"/>
  <c r="EC3" i="1"/>
  <c r="DK62" i="1"/>
  <c r="Q3" i="5"/>
  <c r="R3" i="5"/>
  <c r="Q5" i="5"/>
  <c r="BJ6" i="2"/>
  <c r="BE7" i="2"/>
  <c r="DJ62" i="1"/>
  <c r="DP31" i="1"/>
  <c r="DQ26" i="1"/>
  <c r="DI62" i="1"/>
  <c r="DH24" i="1"/>
  <c r="DH62" i="1" s="1"/>
  <c r="DN62" i="1" l="1"/>
  <c r="DQ24" i="1"/>
  <c r="DU44" i="1"/>
  <c r="DW62" i="1" l="1"/>
  <c r="DT13" i="1"/>
  <c r="DT14" i="1"/>
  <c r="BC7" i="2"/>
  <c r="BB7" i="2"/>
  <c r="BL5" i="2"/>
  <c r="BK7" i="2"/>
  <c r="BL6" i="2"/>
  <c r="DV62" i="1"/>
  <c r="DG62" i="1"/>
  <c r="DQ25" i="1"/>
  <c r="P5" i="5"/>
  <c r="P3" i="5"/>
  <c r="BA7" i="2"/>
  <c r="AZ7" i="2"/>
  <c r="BL4" i="2"/>
  <c r="DT19" i="1"/>
  <c r="DT18" i="1"/>
  <c r="DF62" i="1"/>
  <c r="DU62" i="1"/>
  <c r="BJ7" i="2"/>
  <c r="DE62" i="1"/>
  <c r="AY7" i="2"/>
  <c r="AX7" i="2"/>
  <c r="DC62" i="1"/>
  <c r="DS62" i="1"/>
  <c r="DP40" i="1"/>
  <c r="DD62" i="1"/>
  <c r="DR62" i="1"/>
  <c r="DB62" i="1"/>
  <c r="BL3" i="2" l="1"/>
  <c r="DT62" i="1"/>
  <c r="BL7" i="2"/>
  <c r="DA23" i="1"/>
  <c r="DA22" i="1"/>
  <c r="AW7" i="2"/>
  <c r="AV7" i="2"/>
  <c r="CZ62" i="1"/>
  <c r="AU7" i="2"/>
  <c r="CY62" i="1"/>
  <c r="CS62" i="1"/>
  <c r="CT62" i="1"/>
  <c r="CU62" i="1"/>
  <c r="CV62" i="1"/>
  <c r="CW62" i="1"/>
  <c r="CX62" i="1"/>
  <c r="AP7" i="2"/>
  <c r="AT7" i="2"/>
  <c r="CK26" i="1"/>
  <c r="DP43" i="1"/>
  <c r="CK44" i="1"/>
  <c r="DP44" i="1"/>
  <c r="DP45" i="1"/>
  <c r="DP46" i="1"/>
  <c r="AS7" i="2"/>
  <c r="CR62" i="1"/>
  <c r="CQ62" i="1"/>
  <c r="AR7" i="2"/>
  <c r="R5" i="5"/>
  <c r="S4" i="5"/>
  <c r="S3" i="5"/>
  <c r="CP62" i="1"/>
  <c r="AQ7" i="2"/>
  <c r="CO62" i="1"/>
  <c r="AO7" i="2"/>
  <c r="CN62" i="1"/>
  <c r="AN7" i="2"/>
  <c r="CM62" i="1"/>
  <c r="CL62" i="1"/>
  <c r="AM7" i="2"/>
  <c r="CJ62" i="1"/>
  <c r="CI62" i="1"/>
  <c r="AL7" i="2"/>
  <c r="CH62" i="1"/>
  <c r="AK7" i="2"/>
  <c r="CG62" i="1"/>
  <c r="O3" i="5"/>
  <c r="O5" i="5"/>
  <c r="CF62" i="1"/>
  <c r="AJ7" i="2"/>
  <c r="CE62" i="1"/>
  <c r="N5" i="5"/>
  <c r="AI7" i="2"/>
  <c r="CD62" i="1"/>
  <c r="C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R62" i="1"/>
  <c r="S62" i="1"/>
  <c r="T62" i="1"/>
  <c r="U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W62" i="1"/>
  <c r="BX62" i="1"/>
  <c r="BY62" i="1"/>
  <c r="BZ62" i="1"/>
  <c r="CA62" i="1"/>
  <c r="CB62" i="1"/>
  <c r="AG7" i="2"/>
  <c r="AH7" i="2"/>
  <c r="AF7" i="2"/>
  <c r="AE7" i="2"/>
  <c r="AD7" i="2"/>
  <c r="AC7" i="2"/>
  <c r="BV62" i="1"/>
  <c r="AB7" i="2"/>
  <c r="AA7" i="2"/>
  <c r="Z7" i="2"/>
  <c r="Y7" i="2"/>
  <c r="H3" i="5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E7" i="2"/>
  <c r="F7" i="2"/>
  <c r="H7" i="2"/>
  <c r="I7" i="2"/>
  <c r="J7" i="2"/>
  <c r="D7" i="2"/>
  <c r="V43" i="1"/>
  <c r="V62" i="1" s="1"/>
  <c r="Q24" i="1"/>
  <c r="Q62" i="1" s="1"/>
  <c r="G3" i="2"/>
  <c r="G7" i="2" s="1"/>
  <c r="S5" i="5" l="1"/>
  <c r="DQ62" i="1"/>
  <c r="DA62" i="1"/>
  <c r="DP62" i="1"/>
  <c r="CK62" i="1"/>
  <c r="DZ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tc={47B06FC8-EC3E-4778-8FA8-89AEF59CBE63}</author>
    <author>tc={0C741D02-E02D-4596-874C-7134BB6F0264}</author>
    <author>tc={404A49B6-C17E-488F-B19F-E40528CD9F67}</author>
    <author>tc={60A09356-EE9E-4DAC-BB40-155F09F0D6D8}</author>
    <author>user</author>
    <author>LG</author>
    <author>tc={FDFE76E0-CB9D-44E1-A62D-63FC9B7C52DF}</author>
    <author>tc={D8FD80A0-1F6F-41A0-9F3C-D13B3F661FDE}</author>
    <author>tc={040B2EA9-0442-49FE-AD17-6E387EA10836}</author>
  </authors>
  <commentList>
    <comment ref="S11" authorId="0" shapeId="0" xr:uid="{47B06FC8-EC3E-4778-8FA8-89AEF59CBE6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9월달꺼입고됨 360개</t>
      </text>
    </comment>
    <comment ref="AA11" authorId="1" shapeId="0" xr:uid="{0C741D02-E02D-4596-874C-7134BB6F026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9-4에 240개있었는데, 소량차이라 수량삭제함</t>
      </text>
    </comment>
    <comment ref="I17" authorId="2" shapeId="0" xr:uid="{404A49B6-C17E-488F-B19F-E40528CD9F6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2575개 증정</t>
      </text>
    </comment>
    <comment ref="Y22" authorId="3" shapeId="0" xr:uid="{60A09356-EE9E-4DAC-BB40-155F09F0D6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이전에 발주했던 수량인데 포장지때문에 못받은 건</t>
      </text>
    </comment>
    <comment ref="BR26" authorId="4" shapeId="0" xr:uid="{AFDC58A4-6610-4186-972C-34EE0DA35917}">
      <text>
        <r>
          <rPr>
            <b/>
            <sz val="9"/>
            <color indexed="81"/>
            <rFont val="돋움"/>
            <family val="3"/>
            <charset val="129"/>
          </rPr>
          <t>청사과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딸기로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들어와서
청사과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딸기로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DB26" authorId="5" shapeId="0" xr:uid="{46A6471C-21F3-4FEF-8207-DAB385DDB198}">
      <text>
        <r>
          <rPr>
            <b/>
            <sz val="9"/>
            <color indexed="81"/>
            <rFont val="Tahoma"/>
            <family val="2"/>
          </rPr>
          <t>4/30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</text>
    </comment>
    <comment ref="H31" authorId="6" shapeId="0" xr:uid="{FDFE76E0-CB9D-44E1-A62D-63FC9B7C52D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1,200ea 발주</t>
      </text>
    </comment>
    <comment ref="H33" authorId="7" shapeId="0" xr:uid="{D8FD80A0-1F6F-41A0-9F3C-D13B3F661FD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1,500ea발주</t>
      </text>
    </comment>
    <comment ref="V43" authorId="8" shapeId="0" xr:uid="{040B2EA9-0442-49FE-AD17-6E387EA1083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발주수량300+504</t>
      </text>
    </comment>
    <comment ref="CP43" authorId="5" shapeId="0" xr:uid="{9EE764A1-FDA3-429F-BE89-DAA33366FBB9}">
      <text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비공식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</text>
    </comment>
    <comment ref="CP44" authorId="5" shapeId="0" xr:uid="{00F097E0-C905-4179-BFF4-4F7B2CEF287E}">
      <text>
        <r>
          <rPr>
            <b/>
            <sz val="9"/>
            <color indexed="81"/>
            <rFont val="Tahoma"/>
            <family val="2"/>
          </rPr>
          <t>200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비공식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</text>
    </comment>
    <comment ref="CP45" authorId="5" shapeId="0" xr:uid="{1120FCBB-41C6-4112-8DB2-9038602093E9}">
      <text>
        <r>
          <rPr>
            <sz val="9"/>
            <color indexed="81"/>
            <rFont val="Tahoma"/>
            <family val="2"/>
          </rPr>
          <t>28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비공식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지원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100)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tc={B874B253-2A26-4358-AD60-CDC810EF86F6}</author>
  </authors>
  <commentList>
    <comment ref="Y3" authorId="0" shapeId="0" xr:uid="{C28CD47E-2224-4CB1-A8AE-577A2C7D4002}">
      <text>
        <r>
          <rPr>
            <b/>
            <sz val="9"/>
            <color indexed="81"/>
            <rFont val="돋움"/>
            <family val="3"/>
            <charset val="129"/>
          </rPr>
          <t>발주분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이전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반품건</t>
        </r>
        <r>
          <rPr>
            <b/>
            <sz val="9"/>
            <color indexed="81"/>
            <rFont val="Tahoma"/>
            <family val="2"/>
          </rPr>
          <t xml:space="preserve"> 950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</text>
    </comment>
    <comment ref="Y4" authorId="0" shapeId="0" xr:uid="{8F6489B5-ED07-470D-BF0C-867D4628FAB6}">
      <text>
        <r>
          <rPr>
            <b/>
            <sz val="9"/>
            <color indexed="81"/>
            <rFont val="돋움"/>
            <family val="3"/>
            <charset val="129"/>
          </rPr>
          <t>발주분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이전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반품건</t>
        </r>
        <r>
          <rPr>
            <b/>
            <sz val="9"/>
            <color indexed="81"/>
            <rFont val="Tahoma"/>
            <family val="2"/>
          </rPr>
          <t xml:space="preserve"> 850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</text>
    </comment>
    <comment ref="Y5" authorId="0" shapeId="0" xr:uid="{9EBD40F1-AC68-4A37-B1F9-54DCC4607C87}">
      <text>
        <r>
          <rPr>
            <b/>
            <sz val="9"/>
            <color indexed="81"/>
            <rFont val="돋움"/>
            <family val="3"/>
            <charset val="129"/>
          </rPr>
          <t>발주분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이전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반품건</t>
        </r>
        <r>
          <rPr>
            <b/>
            <sz val="9"/>
            <color indexed="81"/>
            <rFont val="Tahoma"/>
            <family val="2"/>
          </rPr>
          <t xml:space="preserve"> 900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</text>
    </comment>
    <comment ref="B6" authorId="1" shapeId="0" xr:uid="{B874B253-2A26-4358-AD60-CDC810EF86F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1PLT = 90ea</t>
      </text>
    </comment>
  </commentList>
</comments>
</file>

<file path=xl/sharedStrings.xml><?xml version="1.0" encoding="utf-8"?>
<sst xmlns="http://schemas.openxmlformats.org/spreadsheetml/2006/main" count="242" uniqueCount="192">
  <si>
    <t>: 쿠팡발주 따라 발주</t>
    <phoneticPr fontId="2" type="noConversion"/>
  </si>
  <si>
    <t>NO</t>
    <phoneticPr fontId="7" type="noConversion"/>
  </si>
  <si>
    <t>바코드</t>
    <phoneticPr fontId="8" type="noConversion"/>
  </si>
  <si>
    <t>상품명</t>
    <phoneticPr fontId="7" type="noConversion"/>
  </si>
  <si>
    <t>총계</t>
    <phoneticPr fontId="7" type="noConversion"/>
  </si>
  <si>
    <t>8809759070645</t>
  </si>
  <si>
    <t>0645 원더푸드 오리 단호박죽 80g</t>
  </si>
  <si>
    <t>8809759070669</t>
  </si>
  <si>
    <t>0669 원더푸드 소고기 버섯죽 80g</t>
  </si>
  <si>
    <t>8809488878833</t>
  </si>
  <si>
    <t>8833 60days 참치+닭가슴살+연어 720g</t>
  </si>
  <si>
    <t>8809488879441</t>
  </si>
  <si>
    <t>9441 30days 닭가슴살 360g</t>
  </si>
  <si>
    <t>8809488879458</t>
  </si>
  <si>
    <t>9458 30days 연어 360g</t>
  </si>
  <si>
    <t>8809488879465</t>
  </si>
  <si>
    <t>9465 30days 참치 360g</t>
  </si>
  <si>
    <t>8809426294893</t>
  </si>
  <si>
    <t>M4893 덴탈플러스 치즈 450g</t>
  </si>
  <si>
    <t>8809426294909</t>
  </si>
  <si>
    <t>M4909 덴탈플러스 블루베리 450g</t>
  </si>
  <si>
    <t>8809426294916</t>
  </si>
  <si>
    <t>M4916 덴탈플러스 청사과 450g</t>
  </si>
  <si>
    <t>8809426291946</t>
  </si>
  <si>
    <t>M194 덴탈플러스 청포도 껌50g[100]</t>
  </si>
  <si>
    <t>8809426291991</t>
  </si>
  <si>
    <t>M199 덴탈플러스 블루베리 껌50g[100]</t>
  </si>
  <si>
    <t>8809426292004</t>
  </si>
  <si>
    <t>M200 덴탈플러스 딸기 껌50g[100]</t>
  </si>
  <si>
    <t>8809426292035</t>
  </si>
  <si>
    <t>M203 덴탈플러스 치즈 껌100g[100]</t>
  </si>
  <si>
    <t>8809426292042</t>
  </si>
  <si>
    <t>M204 덴탈플러스 밀크 껌100g[100]</t>
  </si>
  <si>
    <t>8809426292059</t>
  </si>
  <si>
    <t>M205 덴탈플러스 오메가3 껌100g[100]</t>
  </si>
  <si>
    <t>8809426292073</t>
  </si>
  <si>
    <t>M207 덴탈플러스 블루베리 껌100g[100]</t>
  </si>
  <si>
    <t>8809426292080</t>
  </si>
  <si>
    <t>M208 덴탈플러스 딸기 껌100g[100]</t>
  </si>
  <si>
    <t>8809426292097</t>
  </si>
  <si>
    <t>M209 덴탈플러스 요거트 껌100g[100]</t>
  </si>
  <si>
    <t>8809426292110</t>
  </si>
  <si>
    <t>M211 덴탈플러스 청사과 껌100g[100]</t>
  </si>
  <si>
    <t>8809488874484</t>
  </si>
  <si>
    <t>4484 노즈워크에는 노리밥 초유 블루베리 300g</t>
  </si>
  <si>
    <t>8809488874491</t>
  </si>
  <si>
    <t>4491 노즈워크에는 노리밥 초유 치즈 300g</t>
  </si>
  <si>
    <t>8809426291359</t>
  </si>
  <si>
    <t>M135 오랄크리닉 청사과 300g</t>
  </si>
  <si>
    <t>8809426291366</t>
  </si>
  <si>
    <t>M136 오랄크리닉 블루베리 300g</t>
  </si>
  <si>
    <t>8809426291373</t>
  </si>
  <si>
    <t>M137 오랄크리닉 딸기 300g</t>
  </si>
  <si>
    <t>8809940234719</t>
  </si>
  <si>
    <t>(단종) 4719 오랄클리닉 알러지케어 치킨 300g</t>
    <phoneticPr fontId="2" type="noConversion"/>
  </si>
  <si>
    <t>8809940234726</t>
  </si>
  <si>
    <t>(단종) 4726 오랄클리닉 알러지케어 연어 300g</t>
    <phoneticPr fontId="2" type="noConversion"/>
  </si>
  <si>
    <t>8809940234788</t>
  </si>
  <si>
    <t>(단종) 4788 오랄클리닉 민트 300g</t>
    <phoneticPr fontId="2" type="noConversion"/>
  </si>
  <si>
    <t>8809940230698</t>
  </si>
  <si>
    <t>(단종) 0698 원더푸드 산양유덴탈 182g(14P)</t>
    <phoneticPr fontId="2" type="noConversion"/>
  </si>
  <si>
    <t>8809759077804</t>
  </si>
  <si>
    <t>7804 원더푸드 한 끼 영양 대용식 닭고기 320g[10]</t>
  </si>
  <si>
    <t>8809759077811</t>
  </si>
  <si>
    <t>7811 원더푸드 한 끼 영양 대용식 연어 320g[10]</t>
  </si>
  <si>
    <t>8809759077828</t>
  </si>
  <si>
    <t>7828 원더푸드 한 끼 영양 대용식 황태 320g[10]</t>
  </si>
  <si>
    <t>8809759077064</t>
  </si>
  <si>
    <t>7064 ABCare 조인트 순살스틱 240g[12]</t>
  </si>
  <si>
    <t>8809759077071</t>
  </si>
  <si>
    <t>7071 ABCare 이뮨 순살스틱 240g[12]</t>
  </si>
  <si>
    <t>8809759077095</t>
  </si>
  <si>
    <t>7095 ABCare 조인트 바이트 180g[12]</t>
  </si>
  <si>
    <t>8809759077101</t>
  </si>
  <si>
    <t>7101 ABCare 이뮨 바이트 180g[12]</t>
  </si>
  <si>
    <t>8809759077118</t>
  </si>
  <si>
    <t xml:space="preserve">	7118 ABCare 덴탈 바이트 180g[12]</t>
  </si>
  <si>
    <t>8809940230810</t>
  </si>
  <si>
    <t>0810 ABCare 덴탈츄 뼈건강솔루션 조인트 14P</t>
  </si>
  <si>
    <t>8809940230827</t>
  </si>
  <si>
    <t>0827 ABCare 덴탈츄 장건강솔루션 이뮨 14P</t>
  </si>
  <si>
    <t>8809940230834</t>
  </si>
  <si>
    <t>0834 ABCare 덴탈츄 치아건강솔루션 덴탈 14P</t>
  </si>
  <si>
    <t>8809940230780</t>
  </si>
  <si>
    <t>0780 ABCare 소프트사료 조인트서포트 1kg</t>
  </si>
  <si>
    <t>8809940230797</t>
  </si>
  <si>
    <t>0797 ABCare 소프트사료 이뮨서포트 1kg</t>
  </si>
  <si>
    <t>8809940230803</t>
  </si>
  <si>
    <t>0803 ABCare 소프트사료 덴탈서포트 1kg</t>
  </si>
  <si>
    <t>8809940239233</t>
  </si>
  <si>
    <t>9233 ABCare 소프트사료 스킨서포트 1kg</t>
  </si>
  <si>
    <t>8809940232692</t>
  </si>
  <si>
    <t>2692 ABCare 소프트사료 조인트서포트 40g</t>
  </si>
  <si>
    <t>8809940232708</t>
  </si>
  <si>
    <t>2708 ABCare 소프트사료 이뮨서포트 40g</t>
  </si>
  <si>
    <t>8809940232715</t>
  </si>
  <si>
    <t>2715 ABCare 소프트사료 덴탈서포트 40g</t>
  </si>
  <si>
    <t>8809940239240</t>
  </si>
  <si>
    <t>9240 ABCare 소프트사료 스킨서포트 40g</t>
  </si>
  <si>
    <t>1060719</t>
  </si>
  <si>
    <t>0719 디즈니_애니멀즈_연어스틱 (12 g*5 개입)(다이소)</t>
  </si>
  <si>
    <t>1060720</t>
  </si>
  <si>
    <t>0720 디즈니_애니멀즈_참치스틱 (12 g*5 개입)(다이소)</t>
  </si>
  <si>
    <t>1060721</t>
  </si>
  <si>
    <t>0721 디즈니_애니멀즈_치킨스틱 (12 g*5 개입)(다이소)</t>
  </si>
  <si>
    <t>1060722</t>
  </si>
  <si>
    <t>0722 디즈니_애니멀즈_게살스틱 (12 g*5 개입)(다이소)</t>
  </si>
  <si>
    <t>8809509980446</t>
  </si>
  <si>
    <t>0446 슈퍼츄 디즈니_애니멀즈_치킨스틱 20P</t>
    <phoneticPr fontId="2" type="noConversion"/>
  </si>
  <si>
    <t>8809509980453</t>
  </si>
  <si>
    <t>0453 슈퍼츄 디즈니_애니멀즈_연어스틱 20P</t>
    <phoneticPr fontId="2" type="noConversion"/>
  </si>
  <si>
    <t>8809509982549</t>
    <phoneticPr fontId="2" type="noConversion"/>
  </si>
  <si>
    <t>2549 디즈니_미니프렌즈_치킨스틱(12g X 4개입)(디지털벤투스)</t>
    <phoneticPr fontId="2" type="noConversion"/>
  </si>
  <si>
    <t>8809509982556</t>
    <phoneticPr fontId="2" type="noConversion"/>
  </si>
  <si>
    <t>2556 디즈니_미키프렌즈_연어스틱(12g X 4개입)(디지털벤투스)</t>
    <phoneticPr fontId="2" type="noConversion"/>
  </si>
  <si>
    <t>8809940238366</t>
  </si>
  <si>
    <t>8366 제주별식 소고기프랑크 4P</t>
  </si>
  <si>
    <t>8809940238373</t>
  </si>
  <si>
    <t>8373 제주별식 말고기프랑크 4P</t>
  </si>
  <si>
    <t>8809940238380</t>
  </si>
  <si>
    <t>8380 제주별식 흑돼지프랑크 4P</t>
  </si>
  <si>
    <t>거래처명</t>
    <phoneticPr fontId="7" type="noConversion"/>
  </si>
  <si>
    <t>품목</t>
    <phoneticPr fontId="7" type="noConversion"/>
  </si>
  <si>
    <t>비고</t>
    <phoneticPr fontId="7" type="noConversion"/>
  </si>
  <si>
    <t>입고예정일</t>
    <phoneticPr fontId="7" type="noConversion"/>
  </si>
  <si>
    <t>매입</t>
    <phoneticPr fontId="7" type="noConversion"/>
  </si>
  <si>
    <t>펫원</t>
    <phoneticPr fontId="7" type="noConversion"/>
  </si>
  <si>
    <t>노리밥 초유 블루베리</t>
    <phoneticPr fontId="2" type="noConversion"/>
  </si>
  <si>
    <t>원발란스</t>
    <phoneticPr fontId="2" type="noConversion"/>
  </si>
  <si>
    <t>와이즈테일</t>
    <phoneticPr fontId="2" type="noConversion"/>
  </si>
  <si>
    <t>제주별식 소고기, 말고기</t>
    <phoneticPr fontId="2" type="noConversion"/>
  </si>
  <si>
    <t>소고기프랑크 변색클레임 보상품</t>
    <phoneticPr fontId="2" type="noConversion"/>
  </si>
  <si>
    <t>O</t>
    <phoneticPr fontId="2" type="noConversion"/>
  </si>
  <si>
    <t>X</t>
    <phoneticPr fontId="2" type="noConversion"/>
  </si>
  <si>
    <t>입고</t>
    <phoneticPr fontId="7" type="noConversion"/>
  </si>
  <si>
    <t>펫원</t>
    <phoneticPr fontId="2" type="noConversion"/>
  </si>
  <si>
    <t>ABCare 덴탈츄</t>
    <phoneticPr fontId="2" type="noConversion"/>
  </si>
  <si>
    <t>트레이더스 돼지귀 슬라이스</t>
    <phoneticPr fontId="2" type="noConversion"/>
  </si>
  <si>
    <t>8809509982303</t>
    <phoneticPr fontId="2" type="noConversion"/>
  </si>
  <si>
    <t>2303 트레이더스) 더주스 돼지귀 슬라이스 500g</t>
    <phoneticPr fontId="2" type="noConversion"/>
  </si>
  <si>
    <t>8월</t>
    <phoneticPr fontId="2" type="noConversion"/>
  </si>
  <si>
    <t xml:space="preserve"> ABCare 조인트바이트 / ABCare 덴탈츄</t>
    <phoneticPr fontId="2" type="noConversion"/>
  </si>
  <si>
    <t>소고기버섯죽</t>
    <phoneticPr fontId="2" type="noConversion"/>
  </si>
  <si>
    <t>합계</t>
    <phoneticPr fontId="2" type="noConversion"/>
  </si>
  <si>
    <t>8809560551111</t>
    <phoneticPr fontId="2" type="noConversion"/>
  </si>
  <si>
    <t>샌드원 와이오밍 벤토나이트 모래 6kg</t>
  </si>
  <si>
    <t>60데이즈 / 30데이즈 3종</t>
    <phoneticPr fontId="2" type="noConversion"/>
  </si>
  <si>
    <t>한끼대용식 황태 / 닭고기</t>
    <phoneticPr fontId="2" type="noConversion"/>
  </si>
  <si>
    <t>오리단호박죽</t>
    <phoneticPr fontId="2" type="noConversion"/>
  </si>
  <si>
    <t>슈퍼츄 애니멀즈스틱 2종 / 디지털벤투스 디즈니 스틱 2종</t>
    <phoneticPr fontId="2" type="noConversion"/>
  </si>
  <si>
    <t>다이소 디즈니애니멀즈스틱 참치</t>
    <phoneticPr fontId="2" type="noConversion"/>
  </si>
  <si>
    <t>오랄크리닉 청사과 300g / ABCare 덴탈츄 이뮨</t>
    <phoneticPr fontId="2" type="noConversion"/>
  </si>
  <si>
    <t>덴탈플러스 블루베리 50g / 오랄크리닉 딸기 300g</t>
    <phoneticPr fontId="2" type="noConversion"/>
  </si>
  <si>
    <t>제주별식 3종</t>
    <phoneticPr fontId="2" type="noConversion"/>
  </si>
  <si>
    <t>샌드원</t>
    <phoneticPr fontId="2" type="noConversion"/>
  </si>
  <si>
    <t>샌드원 모래</t>
    <phoneticPr fontId="2" type="noConversion"/>
  </si>
  <si>
    <t>7088 ABCare 덴탈 순살스틱 240g[12]</t>
    <phoneticPr fontId="2" type="noConversion"/>
  </si>
  <si>
    <t>8809759077088</t>
    <phoneticPr fontId="2" type="noConversion"/>
  </si>
  <si>
    <t>8809560553009</t>
  </si>
  <si>
    <t xml:space="preserve">	펫라벨_모랭머랭 두무모래 6L_2.5kg</t>
  </si>
  <si>
    <t>2026-01-29
(2026-02-02)</t>
    <phoneticPr fontId="2" type="noConversion"/>
  </si>
  <si>
    <t>[단위: EA]</t>
    <phoneticPr fontId="7" type="noConversion"/>
  </si>
  <si>
    <t>04/27/2026
4-2</t>
    <phoneticPr fontId="2" type="noConversion"/>
  </si>
  <si>
    <t>2026-04-29</t>
    <phoneticPr fontId="2" type="noConversion"/>
  </si>
  <si>
    <t>8809509987971</t>
  </si>
  <si>
    <t>ABCare 덴탈츄 S 덴탈 100P 700g</t>
  </si>
  <si>
    <t>8809509987988</t>
  </si>
  <si>
    <t>ABCare 덴탈츄 S 이뮨 100P 700g</t>
  </si>
  <si>
    <t>8809509987995</t>
  </si>
  <si>
    <t>ABCare 덴탈츄 S 조인트 100P 700g</t>
  </si>
  <si>
    <t>06/30/2026
(6-1)</t>
    <phoneticPr fontId="2" type="noConversion"/>
  </si>
  <si>
    <t>07/15/2026
(7-1)</t>
    <phoneticPr fontId="2" type="noConversion"/>
  </si>
  <si>
    <t>펫원 공유
입고예정일</t>
    <phoneticPr fontId="7" type="noConversion"/>
  </si>
  <si>
    <t>지연일수</t>
    <phoneticPr fontId="7" type="noConversion"/>
  </si>
  <si>
    <t>입고요청일
(리드타임기준)</t>
    <phoneticPr fontId="7" type="noConversion"/>
  </si>
  <si>
    <t>지연사유 및 특이사항</t>
    <phoneticPr fontId="7" type="noConversion"/>
  </si>
  <si>
    <t>2026-05-29</t>
    <phoneticPr fontId="7" type="noConversion"/>
  </si>
  <si>
    <t>05/07/2026
(6-2)</t>
    <phoneticPr fontId="2" type="noConversion"/>
  </si>
  <si>
    <t>05/18/2026
(6-3)</t>
    <phoneticPr fontId="2" type="noConversion"/>
  </si>
  <si>
    <t>05/18/2026
(6-4)</t>
    <phoneticPr fontId="2" type="noConversion"/>
  </si>
  <si>
    <t>05/27/2026
(7-1)</t>
    <phoneticPr fontId="2" type="noConversion"/>
  </si>
  <si>
    <t>06/01/2026
(7-2)</t>
    <phoneticPr fontId="7" type="noConversion"/>
  </si>
  <si>
    <t>06/16/2026
(7-3)</t>
    <phoneticPr fontId="7" type="noConversion"/>
  </si>
  <si>
    <t>04/01/2026
(5-1)</t>
    <phoneticPr fontId="2" type="noConversion"/>
  </si>
  <si>
    <t>04/17/2026
(5-3)</t>
    <phoneticPr fontId="2" type="noConversion"/>
  </si>
  <si>
    <t>04/29/2026
(6-1)</t>
    <phoneticPr fontId="2" type="noConversion"/>
  </si>
  <si>
    <t>7/10 7-2입고예정</t>
    <phoneticPr fontId="7" type="noConversion"/>
  </si>
  <si>
    <t>펫원측 부자재 입고지연</t>
    <phoneticPr fontId="7" type="noConversion"/>
  </si>
  <si>
    <t>펫원측 부자재 입고지연(6월진행) &gt; 7월중 입고예상</t>
    <phoneticPr fontId="7" type="noConversion"/>
  </si>
  <si>
    <t>5-1 잔여수량 &gt; 900개 6월말 입고예정, 7-2 2000개로 수량변경</t>
    <phoneticPr fontId="7" type="noConversion"/>
  </si>
  <si>
    <t>부자재 업체 선정 후 생산진행(7/10입고예상)</t>
    <phoneticPr fontId="7" type="noConversion"/>
  </si>
  <si>
    <t>06/23/2026
(8-1)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</si>
</sst>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-* #,##0.00_-;\-* #,##0.00_-;_-* &quot;-&quot;_-;_-@_-"/>
    <numFmt numFmtId="178" formatCode="mm&quot;월&quot;\ dd&quot;일&quot;"/>
    <numFmt numFmtId="179" formatCode="0_);[Red]\(0\)"/>
    <numFmt numFmtId="180" formatCode="#,##0_ "/>
  </numFmts>
  <fonts count="2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0"/>
      <color indexed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11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1" applyFont="1">
      <alignment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0" fillId="5" borderId="1" xfId="4" applyFont="1" applyFill="1" applyBorder="1" applyAlignment="1">
      <alignment horizontal="left" vertical="center" indent="1"/>
    </xf>
    <xf numFmtId="49" fontId="10" fillId="0" borderId="1" xfId="5" applyNumberFormat="1" applyFont="1" applyBorder="1" applyAlignment="1">
      <alignment horizontal="left" vertical="center" indent="1"/>
    </xf>
    <xf numFmtId="1" fontId="12" fillId="0" borderId="1" xfId="6" applyNumberFormat="1" applyFont="1" applyBorder="1" applyAlignment="1" applyProtection="1">
      <alignment horizontal="left" vertical="center"/>
      <protection locked="0"/>
    </xf>
    <xf numFmtId="176" fontId="1" fillId="0" borderId="2" xfId="1" applyFont="1" applyFill="1" applyBorder="1" applyAlignment="1">
      <alignment horizontal="right" vertical="center"/>
    </xf>
    <xf numFmtId="41" fontId="1" fillId="0" borderId="1" xfId="2" applyNumberFormat="1" applyFont="1" applyBorder="1" applyAlignment="1">
      <alignment horizontal="left" vertical="center" indent="1"/>
    </xf>
    <xf numFmtId="177" fontId="1" fillId="0" borderId="1" xfId="2" applyNumberFormat="1" applyFont="1" applyBorder="1" applyAlignment="1">
      <alignment horizontal="left" vertical="center" indent="1"/>
    </xf>
    <xf numFmtId="49" fontId="10" fillId="4" borderId="1" xfId="5" applyNumberFormat="1" applyFont="1" applyFill="1" applyBorder="1" applyAlignment="1">
      <alignment horizontal="left" vertical="center" indent="1"/>
    </xf>
    <xf numFmtId="1" fontId="12" fillId="4" borderId="1" xfId="6" applyNumberFormat="1" applyFont="1" applyFill="1" applyBorder="1" applyAlignment="1" applyProtection="1">
      <alignment horizontal="left" vertical="center"/>
      <protection locked="0"/>
    </xf>
    <xf numFmtId="41" fontId="1" fillId="0" borderId="2" xfId="1" applyNumberFormat="1" applyFont="1" applyFill="1" applyBorder="1" applyAlignment="1">
      <alignment horizontal="right" vertical="center"/>
    </xf>
    <xf numFmtId="49" fontId="10" fillId="6" borderId="1" xfId="5" applyNumberFormat="1" applyFont="1" applyFill="1" applyBorder="1" applyAlignment="1">
      <alignment horizontal="left" vertical="center" indent="1"/>
    </xf>
    <xf numFmtId="1" fontId="12" fillId="6" borderId="1" xfId="6" applyNumberFormat="1" applyFont="1" applyFill="1" applyBorder="1" applyAlignment="1" applyProtection="1">
      <alignment horizontal="left" vertical="center"/>
      <protection locked="0"/>
    </xf>
    <xf numFmtId="1" fontId="12" fillId="0" borderId="0" xfId="6" applyNumberFormat="1" applyFont="1" applyAlignment="1" applyProtection="1">
      <alignment horizontal="left" vertical="center"/>
      <protection locked="0"/>
    </xf>
    <xf numFmtId="0" fontId="10" fillId="0" borderId="0" xfId="0" applyFont="1">
      <alignment vertical="center"/>
    </xf>
    <xf numFmtId="178" fontId="1" fillId="0" borderId="0" xfId="0" applyNumberFormat="1" applyFont="1">
      <alignment vertical="center"/>
    </xf>
    <xf numFmtId="14" fontId="5" fillId="0" borderId="0" xfId="6" applyNumberFormat="1" applyAlignment="1">
      <alignment horizontal="center" vertical="center"/>
    </xf>
    <xf numFmtId="0" fontId="5" fillId="0" borderId="0" xfId="6" applyAlignment="1">
      <alignment horizontal="center" vertical="center"/>
    </xf>
    <xf numFmtId="4" fontId="5" fillId="0" borderId="0" xfId="6" applyNumberFormat="1" applyAlignment="1">
      <alignment horizontal="center" vertical="center"/>
    </xf>
    <xf numFmtId="0" fontId="5" fillId="0" borderId="0" xfId="6">
      <alignment vertical="center"/>
    </xf>
    <xf numFmtId="0" fontId="5" fillId="0" borderId="0" xfId="6" applyAlignment="1">
      <alignment horizontal="left" vertical="center" indent="1"/>
    </xf>
    <xf numFmtId="0" fontId="1" fillId="0" borderId="1" xfId="6" applyFont="1" applyBorder="1" applyAlignment="1">
      <alignment horizontal="center" vertical="center"/>
    </xf>
    <xf numFmtId="14" fontId="1" fillId="0" borderId="1" xfId="6" applyNumberFormat="1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" fillId="0" borderId="1" xfId="6" applyFont="1" applyBorder="1" applyAlignment="1">
      <alignment horizontal="left" vertical="center" indent="1"/>
    </xf>
    <xf numFmtId="14" fontId="14" fillId="7" borderId="1" xfId="6" applyNumberFormat="1" applyFont="1" applyFill="1" applyBorder="1" applyAlignment="1">
      <alignment horizontal="center" vertical="center" wrapText="1"/>
    </xf>
    <xf numFmtId="0" fontId="14" fillId="7" borderId="1" xfId="6" applyFont="1" applyFill="1" applyBorder="1" applyAlignment="1">
      <alignment horizontal="center" vertical="center"/>
    </xf>
    <xf numFmtId="0" fontId="4" fillId="0" borderId="0" xfId="6" applyFont="1">
      <alignment vertical="center"/>
    </xf>
    <xf numFmtId="177" fontId="1" fillId="0" borderId="2" xfId="2" applyNumberFormat="1" applyFont="1" applyBorder="1" applyAlignment="1">
      <alignment horizontal="left" vertical="center" indent="1"/>
    </xf>
    <xf numFmtId="176" fontId="1" fillId="0" borderId="1" xfId="1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176" fontId="1" fillId="0" borderId="1" xfId="1" applyFont="1" applyBorder="1" applyAlignment="1">
      <alignment horizontal="left" vertical="center" indent="1"/>
    </xf>
    <xf numFmtId="41" fontId="1" fillId="0" borderId="2" xfId="2" applyNumberFormat="1" applyFont="1" applyBorder="1" applyAlignment="1">
      <alignment horizontal="left" vertical="center" indent="1"/>
    </xf>
    <xf numFmtId="176" fontId="1" fillId="0" borderId="2" xfId="1" applyFont="1" applyBorder="1" applyAlignment="1">
      <alignment horizontal="left" vertical="center" indent="1"/>
    </xf>
    <xf numFmtId="49" fontId="16" fillId="6" borderId="1" xfId="5" applyNumberFormat="1" applyFont="1" applyFill="1" applyBorder="1" applyAlignment="1">
      <alignment horizontal="left" vertical="center" indent="1"/>
    </xf>
    <xf numFmtId="1" fontId="17" fillId="6" borderId="1" xfId="6" applyNumberFormat="1" applyFont="1" applyFill="1" applyBorder="1" applyAlignment="1" applyProtection="1">
      <alignment horizontal="left" vertical="center"/>
      <protection locked="0"/>
    </xf>
    <xf numFmtId="1" fontId="17" fillId="0" borderId="1" xfId="6" applyNumberFormat="1" applyFont="1" applyBorder="1" applyAlignment="1" applyProtection="1">
      <alignment horizontal="left" vertical="center"/>
      <protection locked="0"/>
    </xf>
    <xf numFmtId="176" fontId="3" fillId="0" borderId="1" xfId="1" applyFont="1" applyBorder="1" applyAlignment="1">
      <alignment horizontal="center" vertical="center"/>
    </xf>
    <xf numFmtId="176" fontId="18" fillId="5" borderId="1" xfId="1" quotePrefix="1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/>
    </xf>
    <xf numFmtId="176" fontId="3" fillId="6" borderId="1" xfId="2" applyNumberFormat="1" applyFont="1" applyFill="1" applyBorder="1" applyAlignment="1">
      <alignment horizontal="center" vertical="center"/>
    </xf>
    <xf numFmtId="176" fontId="3" fillId="6" borderId="1" xfId="2" applyNumberFormat="1" applyFont="1" applyFill="1" applyBorder="1" applyAlignment="1">
      <alignment horizontal="left" vertical="center" indent="1"/>
    </xf>
    <xf numFmtId="14" fontId="18" fillId="5" borderId="1" xfId="2" quotePrefix="1" applyNumberFormat="1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176" fontId="3" fillId="6" borderId="2" xfId="1" applyFont="1" applyFill="1" applyBorder="1" applyAlignment="1">
      <alignment horizontal="right" vertical="center"/>
    </xf>
    <xf numFmtId="49" fontId="16" fillId="0" borderId="1" xfId="5" applyNumberFormat="1" applyFont="1" applyBorder="1" applyAlignment="1">
      <alignment horizontal="left" vertical="center" indent="1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  <xf numFmtId="44" fontId="1" fillId="0" borderId="0" xfId="11" applyFont="1">
      <alignment vertical="center"/>
    </xf>
    <xf numFmtId="0" fontId="1" fillId="4" borderId="0" xfId="0" applyFont="1" applyFill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3" fillId="0" borderId="1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4" fontId="3" fillId="0" borderId="1" xfId="2" quotePrefix="1" applyNumberFormat="1" applyFont="1" applyBorder="1" applyAlignment="1">
      <alignment horizontal="center" vertical="center" wrapText="1"/>
    </xf>
    <xf numFmtId="176" fontId="1" fillId="0" borderId="2" xfId="0" applyNumberFormat="1" applyFont="1" applyBorder="1">
      <alignment vertical="center"/>
    </xf>
    <xf numFmtId="176" fontId="1" fillId="6" borderId="2" xfId="1" applyFont="1" applyFill="1" applyBorder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4" fontId="1" fillId="0" borderId="1" xfId="2" applyNumberFormat="1" applyFont="1" applyBorder="1" applyAlignment="1">
      <alignment horizontal="center" vertical="center"/>
    </xf>
    <xf numFmtId="176" fontId="3" fillId="0" borderId="1" xfId="2" applyNumberFormat="1" applyFont="1" applyBorder="1" applyAlignment="1">
      <alignment horizontal="center" vertical="center"/>
    </xf>
    <xf numFmtId="179" fontId="3" fillId="0" borderId="1" xfId="2" applyNumberFormat="1" applyFont="1" applyBorder="1" applyAlignment="1">
      <alignment horizontal="center" vertical="center"/>
    </xf>
    <xf numFmtId="0" fontId="18" fillId="8" borderId="1" xfId="2" applyFont="1" applyFill="1" applyBorder="1" applyAlignment="1">
      <alignment horizontal="center" vertical="center" wrapText="1"/>
    </xf>
    <xf numFmtId="179" fontId="18" fillId="8" borderId="1" xfId="2" applyNumberFormat="1" applyFont="1" applyFill="1" applyBorder="1" applyAlignment="1">
      <alignment horizontal="center" vertical="center" wrapText="1"/>
    </xf>
    <xf numFmtId="0" fontId="18" fillId="8" borderId="1" xfId="2" applyFont="1" applyFill="1" applyBorder="1" applyAlignment="1">
      <alignment horizontal="center" vertical="center"/>
    </xf>
    <xf numFmtId="176" fontId="1" fillId="0" borderId="1" xfId="2" applyNumberFormat="1" applyFont="1" applyBorder="1" applyAlignment="1">
      <alignment horizontal="center" vertical="center"/>
    </xf>
    <xf numFmtId="180" fontId="10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8" fillId="0" borderId="0" xfId="2" applyNumberFormat="1" applyFont="1" applyAlignment="1">
      <alignment horizontal="left" vertical="center" wrapText="1"/>
    </xf>
  </cellXfs>
  <cellStyles count="12">
    <cellStyle name="보통 2" xfId="9" xr:uid="{B2EE4278-5373-46A3-8674-193108A04DAC}"/>
    <cellStyle name="쉼표 [0]" xfId="1" builtinId="6"/>
    <cellStyle name="쉼표 [0] 2" xfId="7" xr:uid="{59467449-E80A-4E13-BD75-F62449ACB8E4}"/>
    <cellStyle name="쉼표 [0] 5" xfId="10" xr:uid="{E3959490-A826-4B02-9C27-205334ADF3CD}"/>
    <cellStyle name="좋음 2" xfId="8" xr:uid="{45B5F420-C81E-454E-B389-025A76CC101C}"/>
    <cellStyle name="통화" xfId="11" builtinId="4"/>
    <cellStyle name="표준" xfId="0" builtinId="0"/>
    <cellStyle name="표준 2" xfId="6" xr:uid="{8FCA3219-0E64-40A9-B34D-7628EAAC49A3}"/>
    <cellStyle name="표준 2 2" xfId="4" xr:uid="{7A10EDC3-9900-4E76-B6F7-A6D94F9FCBFD}"/>
    <cellStyle name="표준 3" xfId="2" xr:uid="{E96691DD-5775-4FE7-B61E-76449458B586}"/>
    <cellStyle name="표준 3 2" xfId="3" xr:uid="{970673E8-2B54-4DA3-BC73-775636A7C60F}"/>
    <cellStyle name="표준 4" xfId="5" xr:uid="{3E5F262B-8331-49A6-9A26-087B24CA2CCE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EHA KIM" id="{DE1B6FD4-BCAD-415D-B26D-53782D1F1941}" userId="010bbe3bb8110d8c" providerId="Windows Live"/>
  <person displayName="경영지원 더주스" id="{936E4D96-7054-49AD-8F4C-F0AB78E77E97}" userId="5c04b90b66457847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1" dT="2025-08-27T00:43:57.75" personId="{DE1B6FD4-BCAD-415D-B26D-53782D1F1941}" id="{47B06FC8-EC3E-4778-8FA8-89AEF59CBE63}">
    <text>9월달꺼입고됨 360개</text>
  </threadedComment>
  <threadedComment ref="AA11" dT="2025-09-11T08:45:36.46" personId="{936E4D96-7054-49AD-8F4C-F0AB78E77E97}" id="{0C741D02-E02D-4596-874C-7134BB6F0264}">
    <text>9-4에 240개있었는데, 소량차이라 수량삭제함</text>
  </threadedComment>
  <threadedComment ref="I17" dT="2025-08-11T04:03:18.14" personId="{DE1B6FD4-BCAD-415D-B26D-53782D1F1941}" id="{404A49B6-C17E-488F-B19F-E40528CD9F67}">
    <text>2575개 증정</text>
  </threadedComment>
  <threadedComment ref="Y22" dT="2025-09-09T01:12:34.19" personId="{936E4D96-7054-49AD-8F4C-F0AB78E77E97}" id="{60A09356-EE9E-4DAC-BB40-155F09F0D6D8}">
    <text>이전에 발주했던 수량인데 포장지때문에 못받은 건</text>
  </threadedComment>
  <threadedComment ref="H31" dT="2025-08-04T00:09:20.96" personId="{DE1B6FD4-BCAD-415D-B26D-53782D1F1941}" id="{FDFE76E0-CB9D-44E1-A62D-63FC9B7C52DF}">
    <text>1,200ea 발주</text>
  </threadedComment>
  <threadedComment ref="H33" dT="2025-08-04T00:09:32.01" personId="{DE1B6FD4-BCAD-415D-B26D-53782D1F1941}" id="{D8FD80A0-1F6F-41A0-9F3C-D13B3F661FDE}">
    <text>1,500ea발주</text>
  </threadedComment>
  <threadedComment ref="V43" dT="2025-09-02T07:50:03.38" personId="{DE1B6FD4-BCAD-415D-B26D-53782D1F1941}" id="{040B2EA9-0442-49FE-AD17-6E387EA10836}">
    <text>발주수량300+504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5-06-24T09:13:34.73" personId="{936E4D96-7054-49AD-8F4C-F0AB78E77E97}" id="{B874B253-2A26-4358-AD60-CDC810EF86F6}">
    <text>1PLT = 90ea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E9D7-BA53-453E-88D0-986DEE638945}">
  <sheetPr filterMode="1">
    <pageSetUpPr fitToPage="1"/>
  </sheetPr>
  <dimension ref="A1:F17"/>
  <sheetViews>
    <sheetView zoomScale="85" zoomScaleNormal="85" zoomScaleSheetLayoutView="70" workbookViewId="0">
      <pane ySplit="2" topLeftCell="A12" activePane="bottomLeft" state="frozen"/>
      <selection activeCell="B156" sqref="B156"/>
      <selection pane="bottomLeft" activeCell="D27" sqref="D27"/>
    </sheetView>
  </sheetViews>
  <sheetFormatPr defaultColWidth="8.75" defaultRowHeight="16.5" x14ac:dyDescent="0.3"/>
  <cols>
    <col min="1" max="1" width="15.5" style="21" bestFit="1" customWidth="1"/>
    <col min="2" max="2" width="13.375" style="22" bestFit="1" customWidth="1"/>
    <col min="3" max="3" width="9.875" style="22" bestFit="1" customWidth="1"/>
    <col min="4" max="4" width="89" style="22" customWidth="1"/>
    <col min="5" max="5" width="9.375" style="25" bestFit="1" customWidth="1"/>
    <col min="6" max="6" width="29.75" style="25" bestFit="1" customWidth="1"/>
    <col min="7" max="16384" width="8.75" style="24"/>
  </cols>
  <sheetData>
    <row r="1" spans="1:6" x14ac:dyDescent="0.3">
      <c r="D1" s="23"/>
    </row>
    <row r="2" spans="1:6" s="32" customFormat="1" ht="17.25" x14ac:dyDescent="0.3">
      <c r="A2" s="30" t="s">
        <v>124</v>
      </c>
      <c r="B2" s="31" t="s">
        <v>121</v>
      </c>
      <c r="C2" s="31" t="s">
        <v>125</v>
      </c>
      <c r="D2" s="31" t="s">
        <v>122</v>
      </c>
      <c r="E2" s="31" t="s">
        <v>134</v>
      </c>
      <c r="F2" s="31" t="s">
        <v>123</v>
      </c>
    </row>
    <row r="3" spans="1:6" hidden="1" x14ac:dyDescent="0.3">
      <c r="A3" s="27">
        <v>45827</v>
      </c>
      <c r="B3" s="28" t="s">
        <v>126</v>
      </c>
      <c r="C3" s="28" t="s">
        <v>129</v>
      </c>
      <c r="D3" s="26" t="s">
        <v>127</v>
      </c>
      <c r="E3" s="26" t="s">
        <v>132</v>
      </c>
      <c r="F3" s="29"/>
    </row>
    <row r="4" spans="1:6" hidden="1" x14ac:dyDescent="0.3">
      <c r="A4" s="27">
        <v>45834</v>
      </c>
      <c r="B4" s="28" t="s">
        <v>135</v>
      </c>
      <c r="C4" s="28" t="s">
        <v>129</v>
      </c>
      <c r="D4" s="26" t="s">
        <v>141</v>
      </c>
      <c r="E4" s="26" t="s">
        <v>132</v>
      </c>
      <c r="F4" s="29"/>
    </row>
    <row r="5" spans="1:6" hidden="1" x14ac:dyDescent="0.3">
      <c r="A5" s="27">
        <v>45835</v>
      </c>
      <c r="B5" s="28" t="s">
        <v>126</v>
      </c>
      <c r="C5" s="28" t="s">
        <v>129</v>
      </c>
      <c r="D5" s="26" t="s">
        <v>142</v>
      </c>
      <c r="E5" s="26" t="s">
        <v>132</v>
      </c>
      <c r="F5" s="29"/>
    </row>
    <row r="6" spans="1:6" hidden="1" x14ac:dyDescent="0.3">
      <c r="A6" s="27">
        <v>45835</v>
      </c>
      <c r="B6" s="28" t="s">
        <v>128</v>
      </c>
      <c r="C6" s="28" t="s">
        <v>129</v>
      </c>
      <c r="D6" s="26" t="s">
        <v>130</v>
      </c>
      <c r="E6" s="26" t="s">
        <v>132</v>
      </c>
      <c r="F6" s="29" t="s">
        <v>131</v>
      </c>
    </row>
    <row r="7" spans="1:6" hidden="1" x14ac:dyDescent="0.3">
      <c r="A7" s="27">
        <v>45838</v>
      </c>
      <c r="B7" s="28" t="s">
        <v>135</v>
      </c>
      <c r="C7" s="28" t="s">
        <v>129</v>
      </c>
      <c r="D7" s="26" t="s">
        <v>136</v>
      </c>
      <c r="E7" s="26" t="s">
        <v>132</v>
      </c>
      <c r="F7" s="29"/>
    </row>
    <row r="8" spans="1:6" hidden="1" x14ac:dyDescent="0.3">
      <c r="A8" s="27">
        <v>45849</v>
      </c>
      <c r="B8" s="28" t="s">
        <v>135</v>
      </c>
      <c r="C8" s="28" t="s">
        <v>129</v>
      </c>
      <c r="D8" s="26" t="s">
        <v>149</v>
      </c>
      <c r="E8" s="26" t="s">
        <v>132</v>
      </c>
      <c r="F8" s="29"/>
    </row>
    <row r="9" spans="1:6" hidden="1" x14ac:dyDescent="0.3">
      <c r="A9" s="27">
        <v>45853</v>
      </c>
      <c r="B9" s="28" t="s">
        <v>126</v>
      </c>
      <c r="C9" s="28" t="s">
        <v>129</v>
      </c>
      <c r="D9" s="26" t="s">
        <v>146</v>
      </c>
      <c r="E9" s="26" t="s">
        <v>132</v>
      </c>
      <c r="F9" s="29"/>
    </row>
    <row r="10" spans="1:6" hidden="1" x14ac:dyDescent="0.3">
      <c r="A10" s="27">
        <v>45866</v>
      </c>
      <c r="B10" s="28" t="s">
        <v>135</v>
      </c>
      <c r="C10" s="28" t="s">
        <v>129</v>
      </c>
      <c r="D10" s="26" t="s">
        <v>148</v>
      </c>
      <c r="E10" s="26" t="s">
        <v>132</v>
      </c>
      <c r="F10" s="29"/>
    </row>
    <row r="11" spans="1:6" hidden="1" x14ac:dyDescent="0.3">
      <c r="A11" s="27">
        <v>45866</v>
      </c>
      <c r="B11" s="28" t="s">
        <v>128</v>
      </c>
      <c r="C11" s="28" t="s">
        <v>129</v>
      </c>
      <c r="D11" s="26" t="s">
        <v>137</v>
      </c>
      <c r="E11" s="26" t="s">
        <v>132</v>
      </c>
      <c r="F11" s="29"/>
    </row>
    <row r="12" spans="1:6" x14ac:dyDescent="0.3">
      <c r="A12" s="27">
        <v>45869</v>
      </c>
      <c r="B12" s="28" t="s">
        <v>126</v>
      </c>
      <c r="C12" s="28" t="s">
        <v>129</v>
      </c>
      <c r="D12" s="26" t="s">
        <v>151</v>
      </c>
      <c r="E12" s="26" t="s">
        <v>133</v>
      </c>
      <c r="F12" s="29"/>
    </row>
    <row r="13" spans="1:6" x14ac:dyDescent="0.3">
      <c r="A13" s="27">
        <v>45875</v>
      </c>
      <c r="B13" s="28" t="s">
        <v>126</v>
      </c>
      <c r="C13" s="28" t="s">
        <v>129</v>
      </c>
      <c r="D13" s="26" t="s">
        <v>152</v>
      </c>
      <c r="E13" s="26" t="s">
        <v>133</v>
      </c>
      <c r="F13" s="29"/>
    </row>
    <row r="14" spans="1:6" x14ac:dyDescent="0.3">
      <c r="A14" s="27">
        <v>45889</v>
      </c>
      <c r="B14" s="28" t="s">
        <v>126</v>
      </c>
      <c r="C14" s="28" t="s">
        <v>129</v>
      </c>
      <c r="D14" s="26" t="s">
        <v>147</v>
      </c>
      <c r="E14" s="26" t="s">
        <v>133</v>
      </c>
      <c r="F14" s="29"/>
    </row>
    <row r="15" spans="1:6" x14ac:dyDescent="0.3">
      <c r="A15" s="27">
        <v>45889</v>
      </c>
      <c r="B15" s="28" t="s">
        <v>128</v>
      </c>
      <c r="C15" s="28" t="s">
        <v>129</v>
      </c>
      <c r="D15" s="26" t="s">
        <v>153</v>
      </c>
      <c r="E15" s="26" t="s">
        <v>133</v>
      </c>
      <c r="F15" s="29"/>
    </row>
    <row r="16" spans="1:6" x14ac:dyDescent="0.3">
      <c r="A16" s="27">
        <v>45908</v>
      </c>
      <c r="B16" s="28" t="s">
        <v>154</v>
      </c>
      <c r="C16" s="28" t="s">
        <v>129</v>
      </c>
      <c r="D16" s="26" t="s">
        <v>155</v>
      </c>
      <c r="E16" s="26" t="s">
        <v>133</v>
      </c>
      <c r="F16" s="29"/>
    </row>
    <row r="17" spans="1:6" x14ac:dyDescent="0.3">
      <c r="A17" s="27" t="s">
        <v>140</v>
      </c>
      <c r="B17" s="28" t="s">
        <v>126</v>
      </c>
      <c r="C17" s="28" t="s">
        <v>129</v>
      </c>
      <c r="D17" s="26" t="s">
        <v>150</v>
      </c>
      <c r="E17" s="26" t="s">
        <v>133</v>
      </c>
      <c r="F17" s="29"/>
    </row>
  </sheetData>
  <autoFilter ref="A2:F17" xr:uid="{6A82E9D7-BA53-453E-88D0-986DEE638945}">
    <filterColumn colId="4">
      <filters>
        <filter val="X"/>
      </filters>
    </filterColumn>
    <sortState xmlns:xlrd2="http://schemas.microsoft.com/office/spreadsheetml/2017/richdata2" ref="A3:F17">
      <sortCondition ref="A2"/>
    </sortState>
  </autoFilter>
  <phoneticPr fontId="2" type="noConversion"/>
  <pageMargins left="0.7" right="0.7" top="0.75" bottom="0.75" header="0.3" footer="0.3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7E4C-3DDB-4AC1-8BB9-26F2B4FCF60F}">
  <sheetPr>
    <tabColor theme="4" tint="0.79998168889431442"/>
  </sheetPr>
  <dimension ref="A1:EE69"/>
  <sheetViews>
    <sheetView tabSelected="1" zoomScaleNormal="100" workbookViewId="0">
      <pane xSplit="3" ySplit="2" topLeftCell="DP3" activePane="bottomRight" state="frozen"/>
      <selection activeCell="V1" sqref="V1:V1048576"/>
      <selection pane="topRight" activeCell="V1" sqref="V1:V1048576"/>
      <selection pane="bottomLeft" activeCell="V1" sqref="V1:V1048576"/>
      <selection pane="bottomRight" activeCell="EB35" sqref="EB35"/>
    </sheetView>
  </sheetViews>
  <sheetFormatPr defaultRowHeight="16.5" x14ac:dyDescent="0.3"/>
  <cols>
    <col min="1" max="1" width="9.125" style="56" bestFit="1" customWidth="1"/>
    <col min="2" max="2" width="17.75" style="2" bestFit="1" customWidth="1"/>
    <col min="3" max="3" width="51.625" style="2" customWidth="1"/>
    <col min="4" max="21" width="10.875" style="2" hidden="1" customWidth="1"/>
    <col min="22" max="119" width="10.875" style="3" hidden="1" customWidth="1"/>
    <col min="120" max="130" width="9.875" style="2" customWidth="1"/>
    <col min="131" max="132" width="12" style="56" customWidth="1"/>
    <col min="133" max="133" width="7.875" style="63" customWidth="1"/>
    <col min="134" max="134" width="51.5" style="56" customWidth="1"/>
  </cols>
  <sheetData>
    <row r="1" spans="1:135" x14ac:dyDescent="0.3">
      <c r="A1" s="54"/>
      <c r="B1" s="1" t="s">
        <v>0</v>
      </c>
      <c r="DP1" s="20"/>
      <c r="DQ1" s="20"/>
      <c r="DR1" s="20"/>
      <c r="DS1" s="20"/>
      <c r="DT1" s="20"/>
      <c r="DU1" s="20"/>
      <c r="DV1" s="20"/>
      <c r="DW1" s="20"/>
      <c r="DX1" s="20"/>
      <c r="DY1" s="20"/>
    </row>
    <row r="2" spans="1:135" ht="24" x14ac:dyDescent="0.3">
      <c r="A2" s="4" t="s">
        <v>1</v>
      </c>
      <c r="B2" s="4" t="s">
        <v>2</v>
      </c>
      <c r="C2" s="5" t="s">
        <v>3</v>
      </c>
      <c r="D2" s="6">
        <v>45827</v>
      </c>
      <c r="E2" s="6">
        <v>45834</v>
      </c>
      <c r="F2" s="6">
        <v>45860</v>
      </c>
      <c r="G2" s="6">
        <v>45866</v>
      </c>
      <c r="H2" s="6">
        <v>45870</v>
      </c>
      <c r="I2" s="6">
        <v>45873</v>
      </c>
      <c r="J2" s="6">
        <v>45874</v>
      </c>
      <c r="K2" s="6">
        <v>45874</v>
      </c>
      <c r="L2" s="6">
        <v>45875</v>
      </c>
      <c r="M2" s="6">
        <v>45877</v>
      </c>
      <c r="N2" s="6">
        <v>45880</v>
      </c>
      <c r="O2" s="6">
        <v>45880</v>
      </c>
      <c r="P2" s="6">
        <v>45882</v>
      </c>
      <c r="Q2" s="6">
        <v>45888</v>
      </c>
      <c r="R2" s="6">
        <v>45889</v>
      </c>
      <c r="S2" s="6">
        <v>45894</v>
      </c>
      <c r="T2" s="6">
        <v>45896</v>
      </c>
      <c r="U2" s="6">
        <v>45901</v>
      </c>
      <c r="V2" s="6">
        <v>45902</v>
      </c>
      <c r="W2" s="6">
        <v>45904</v>
      </c>
      <c r="X2" s="6">
        <v>45905</v>
      </c>
      <c r="Y2" s="6">
        <v>45908</v>
      </c>
      <c r="Z2" s="6">
        <v>45909</v>
      </c>
      <c r="AA2" s="6">
        <v>45911</v>
      </c>
      <c r="AB2" s="6">
        <v>45918</v>
      </c>
      <c r="AC2" s="6">
        <v>45919</v>
      </c>
      <c r="AD2" s="6">
        <v>45922</v>
      </c>
      <c r="AE2" s="6">
        <v>45922</v>
      </c>
      <c r="AF2" s="6">
        <v>45924</v>
      </c>
      <c r="AG2" s="6">
        <v>45926</v>
      </c>
      <c r="AH2" s="6">
        <v>45929</v>
      </c>
      <c r="AI2" s="6">
        <v>45931</v>
      </c>
      <c r="AJ2" s="6">
        <v>45940</v>
      </c>
      <c r="AK2" s="6">
        <v>45945</v>
      </c>
      <c r="AL2" s="6">
        <v>45947</v>
      </c>
      <c r="AM2" s="6">
        <v>45950</v>
      </c>
      <c r="AN2" s="6">
        <v>45953</v>
      </c>
      <c r="AO2" s="6">
        <v>45957</v>
      </c>
      <c r="AP2" s="6">
        <v>45959</v>
      </c>
      <c r="AQ2" s="6">
        <v>45960</v>
      </c>
      <c r="AR2" s="6">
        <v>45966</v>
      </c>
      <c r="AS2" s="6">
        <v>45967</v>
      </c>
      <c r="AT2" s="6">
        <v>45971</v>
      </c>
      <c r="AU2" s="6">
        <v>45972</v>
      </c>
      <c r="AV2" s="6">
        <v>45973</v>
      </c>
      <c r="AW2" s="6">
        <v>45974</v>
      </c>
      <c r="AX2" s="6">
        <v>45975</v>
      </c>
      <c r="AY2" s="6">
        <v>45978</v>
      </c>
      <c r="AZ2" s="6">
        <v>45985</v>
      </c>
      <c r="BA2" s="6">
        <v>45986</v>
      </c>
      <c r="BB2" s="6">
        <v>45987</v>
      </c>
      <c r="BC2" s="6">
        <v>45988</v>
      </c>
      <c r="BD2" s="6">
        <v>45995</v>
      </c>
      <c r="BE2" s="6">
        <v>45999</v>
      </c>
      <c r="BF2" s="6">
        <v>46006</v>
      </c>
      <c r="BG2" s="6">
        <v>46010</v>
      </c>
      <c r="BH2" s="6">
        <v>46015</v>
      </c>
      <c r="BI2" s="6">
        <v>46017</v>
      </c>
      <c r="BJ2" s="6">
        <v>46020</v>
      </c>
      <c r="BK2" s="6">
        <v>46021</v>
      </c>
      <c r="BL2" s="6">
        <v>46027</v>
      </c>
      <c r="BM2" s="6">
        <v>46028</v>
      </c>
      <c r="BN2" s="6">
        <v>46029</v>
      </c>
      <c r="BO2" s="6">
        <v>46030</v>
      </c>
      <c r="BP2" s="6">
        <v>46031</v>
      </c>
      <c r="BQ2" s="6">
        <v>46035</v>
      </c>
      <c r="BR2" s="6">
        <v>46037</v>
      </c>
      <c r="BS2" s="6">
        <v>46038</v>
      </c>
      <c r="BT2" s="6">
        <v>46043</v>
      </c>
      <c r="BU2" s="6">
        <v>46044</v>
      </c>
      <c r="BV2" s="6">
        <v>46048</v>
      </c>
      <c r="BW2" s="6">
        <v>46049</v>
      </c>
      <c r="BX2" s="59">
        <v>46059</v>
      </c>
      <c r="BY2" s="59">
        <v>46064</v>
      </c>
      <c r="BZ2" s="59">
        <v>46065</v>
      </c>
      <c r="CA2" s="59">
        <v>46072</v>
      </c>
      <c r="CB2" s="59">
        <v>46076</v>
      </c>
      <c r="CC2" s="59">
        <v>46078</v>
      </c>
      <c r="CD2" s="59">
        <v>46084</v>
      </c>
      <c r="CE2" s="59">
        <v>46087</v>
      </c>
      <c r="CF2" s="59">
        <v>46090</v>
      </c>
      <c r="CG2" s="59">
        <v>46092</v>
      </c>
      <c r="CH2" s="59">
        <v>46097</v>
      </c>
      <c r="CI2" s="59">
        <v>46098</v>
      </c>
      <c r="CJ2" s="59">
        <v>46104</v>
      </c>
      <c r="CK2" s="59">
        <v>46105</v>
      </c>
      <c r="CL2" s="59">
        <v>46107</v>
      </c>
      <c r="CM2" s="59">
        <v>46108</v>
      </c>
      <c r="CN2" s="59">
        <v>46112</v>
      </c>
      <c r="CO2" s="59">
        <v>46118</v>
      </c>
      <c r="CP2" s="59">
        <v>46120</v>
      </c>
      <c r="CQ2" s="59">
        <v>46122</v>
      </c>
      <c r="CR2" s="59">
        <v>46125</v>
      </c>
      <c r="CS2" s="59">
        <v>46127</v>
      </c>
      <c r="CT2" s="59">
        <v>46128</v>
      </c>
      <c r="CU2" s="59">
        <v>46129</v>
      </c>
      <c r="CV2" s="59">
        <v>46132</v>
      </c>
      <c r="CW2" s="59">
        <v>46135</v>
      </c>
      <c r="CX2" s="59">
        <v>46136</v>
      </c>
      <c r="CY2" s="59">
        <v>46139</v>
      </c>
      <c r="CZ2" s="59">
        <v>46140</v>
      </c>
      <c r="DA2" s="59" t="s">
        <v>163</v>
      </c>
      <c r="DB2" s="59">
        <v>46143</v>
      </c>
      <c r="DC2" s="59">
        <v>46148</v>
      </c>
      <c r="DD2" s="59">
        <v>46149</v>
      </c>
      <c r="DE2" s="59">
        <v>46155</v>
      </c>
      <c r="DF2" s="59">
        <v>46161</v>
      </c>
      <c r="DG2" s="59">
        <v>46164</v>
      </c>
      <c r="DH2" s="59" t="s">
        <v>176</v>
      </c>
      <c r="DI2" s="59">
        <v>46177</v>
      </c>
      <c r="DJ2" s="59">
        <v>46178</v>
      </c>
      <c r="DK2" s="59">
        <v>46182</v>
      </c>
      <c r="DL2" s="59">
        <v>46184</v>
      </c>
      <c r="DM2" s="59">
        <v>46185</v>
      </c>
      <c r="DN2" s="59">
        <v>46188</v>
      </c>
      <c r="DO2" s="59">
        <v>46190</v>
      </c>
      <c r="DP2" s="43" t="s">
        <v>183</v>
      </c>
      <c r="DQ2" s="43" t="s">
        <v>184</v>
      </c>
      <c r="DR2" s="43" t="s">
        <v>185</v>
      </c>
      <c r="DS2" s="43" t="s">
        <v>177</v>
      </c>
      <c r="DT2" s="43" t="s">
        <v>178</v>
      </c>
      <c r="DU2" s="43" t="s">
        <v>179</v>
      </c>
      <c r="DV2" s="43" t="s">
        <v>180</v>
      </c>
      <c r="DW2" s="43" t="s">
        <v>181</v>
      </c>
      <c r="DX2" s="43" t="s">
        <v>182</v>
      </c>
      <c r="DY2" s="43" t="s">
        <v>191</v>
      </c>
      <c r="DZ2" s="44" t="s">
        <v>4</v>
      </c>
      <c r="EA2" s="67" t="s">
        <v>174</v>
      </c>
      <c r="EB2" s="67" t="s">
        <v>172</v>
      </c>
      <c r="EC2" s="68" t="s">
        <v>173</v>
      </c>
      <c r="ED2" s="69" t="s">
        <v>175</v>
      </c>
    </row>
    <row r="3" spans="1:135" x14ac:dyDescent="0.3">
      <c r="A3" s="55">
        <v>1</v>
      </c>
      <c r="B3" s="8" t="s">
        <v>5</v>
      </c>
      <c r="C3" s="9" t="s">
        <v>6</v>
      </c>
      <c r="D3" s="10"/>
      <c r="E3" s="10"/>
      <c r="F3" s="10"/>
      <c r="G3" s="10">
        <v>2880</v>
      </c>
      <c r="H3" s="10">
        <v>0</v>
      </c>
      <c r="I3" s="10"/>
      <c r="J3" s="10"/>
      <c r="K3" s="10"/>
      <c r="L3" s="10">
        <v>0</v>
      </c>
      <c r="M3" s="10"/>
      <c r="N3" s="10"/>
      <c r="O3" s="10"/>
      <c r="P3" s="10"/>
      <c r="Q3" s="10">
        <v>0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>
        <v>5064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>
        <v>5136</v>
      </c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>
        <v>5136</v>
      </c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>
        <v>4968</v>
      </c>
      <c r="DM3" s="10"/>
      <c r="DN3" s="10"/>
      <c r="DO3" s="10"/>
      <c r="DP3" s="10"/>
      <c r="DQ3" s="10"/>
      <c r="DR3" s="10">
        <f>5640-DL3-(672)</f>
        <v>0</v>
      </c>
      <c r="DS3" s="10"/>
      <c r="DT3" s="10"/>
      <c r="DU3" s="10"/>
      <c r="DV3" s="10"/>
      <c r="DW3" s="10"/>
      <c r="DX3" s="10"/>
      <c r="DY3" s="10"/>
      <c r="DZ3" s="46">
        <f>SUM(DP3:DY3)</f>
        <v>0</v>
      </c>
      <c r="EA3" s="64"/>
      <c r="EB3" s="64"/>
      <c r="EC3" s="71">
        <f t="shared" ref="EC3:EC61" si="0">IFERROR(IF(EB3="",0,EB3-EA3),0)</f>
        <v>0</v>
      </c>
      <c r="ED3" s="70"/>
      <c r="EE3" s="51"/>
    </row>
    <row r="4" spans="1:135" x14ac:dyDescent="0.3">
      <c r="A4" s="55">
        <v>2</v>
      </c>
      <c r="B4" s="8" t="s">
        <v>7</v>
      </c>
      <c r="C4" s="9" t="s">
        <v>8</v>
      </c>
      <c r="D4" s="10"/>
      <c r="E4" s="10"/>
      <c r="F4" s="10"/>
      <c r="G4" s="10">
        <v>0</v>
      </c>
      <c r="H4" s="10">
        <v>0</v>
      </c>
      <c r="I4" s="10"/>
      <c r="J4" s="10"/>
      <c r="K4" s="10"/>
      <c r="L4" s="10">
        <v>0</v>
      </c>
      <c r="M4" s="10"/>
      <c r="N4" s="10"/>
      <c r="O4" s="10"/>
      <c r="P4" s="10"/>
      <c r="Q4" s="10">
        <v>0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>
        <v>5112</v>
      </c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>
        <v>5640</v>
      </c>
      <c r="DZ4" s="46">
        <f t="shared" ref="DZ4:DZ61" si="1">SUM(DP4:DY4)</f>
        <v>5640</v>
      </c>
      <c r="EA4" s="64"/>
      <c r="EB4" s="64"/>
      <c r="EC4" s="71">
        <f t="shared" si="0"/>
        <v>0</v>
      </c>
      <c r="ED4" s="70"/>
      <c r="EE4" s="51"/>
    </row>
    <row r="5" spans="1:135" x14ac:dyDescent="0.3">
      <c r="A5" s="55">
        <v>3</v>
      </c>
      <c r="B5" s="8" t="s">
        <v>9</v>
      </c>
      <c r="C5" s="9" t="s">
        <v>10</v>
      </c>
      <c r="D5" s="10">
        <v>0</v>
      </c>
      <c r="E5" s="10"/>
      <c r="F5" s="10"/>
      <c r="G5" s="10">
        <v>0</v>
      </c>
      <c r="H5" s="10">
        <v>0</v>
      </c>
      <c r="I5" s="10"/>
      <c r="J5" s="10"/>
      <c r="K5" s="10"/>
      <c r="L5" s="10">
        <v>0</v>
      </c>
      <c r="M5" s="10"/>
      <c r="N5" s="10"/>
      <c r="O5" s="10"/>
      <c r="P5" s="10"/>
      <c r="Q5" s="10">
        <v>0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>
        <v>2000</v>
      </c>
      <c r="AC5" s="10"/>
      <c r="AD5" s="10"/>
      <c r="AE5" s="10"/>
      <c r="AF5" s="10"/>
      <c r="AG5" s="10"/>
      <c r="AH5" s="10"/>
      <c r="AI5" s="10"/>
      <c r="AJ5" s="10">
        <v>1853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>
        <v>1920</v>
      </c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>
        <v>1866</v>
      </c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>
        <v>1983</v>
      </c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>
        <v>2000</v>
      </c>
      <c r="DZ5" s="46">
        <f t="shared" si="1"/>
        <v>2000</v>
      </c>
      <c r="EA5" s="64"/>
      <c r="EB5" s="64"/>
      <c r="EC5" s="71">
        <f t="shared" si="0"/>
        <v>0</v>
      </c>
      <c r="ED5" s="70"/>
    </row>
    <row r="6" spans="1:135" x14ac:dyDescent="0.3">
      <c r="A6" s="55">
        <v>4</v>
      </c>
      <c r="B6" s="8" t="s">
        <v>11</v>
      </c>
      <c r="C6" s="9" t="s">
        <v>12</v>
      </c>
      <c r="D6" s="10">
        <v>0</v>
      </c>
      <c r="E6" s="10"/>
      <c r="F6" s="10"/>
      <c r="G6" s="10">
        <v>0</v>
      </c>
      <c r="H6" s="10">
        <v>0</v>
      </c>
      <c r="I6" s="10"/>
      <c r="J6" s="10"/>
      <c r="K6" s="10"/>
      <c r="L6" s="10">
        <v>0</v>
      </c>
      <c r="M6" s="10"/>
      <c r="N6" s="10"/>
      <c r="O6" s="10"/>
      <c r="P6" s="10"/>
      <c r="Q6" s="10">
        <v>0</v>
      </c>
      <c r="R6" s="10"/>
      <c r="S6" s="10"/>
      <c r="T6" s="10"/>
      <c r="U6" s="10"/>
      <c r="V6" s="10"/>
      <c r="W6" s="10"/>
      <c r="X6" s="10"/>
      <c r="Y6" s="10"/>
      <c r="Z6" s="10">
        <v>1679</v>
      </c>
      <c r="AA6" s="10"/>
      <c r="AB6" s="10"/>
      <c r="AC6" s="10"/>
      <c r="AD6" s="10"/>
      <c r="AE6" s="10"/>
      <c r="AF6" s="10"/>
      <c r="AG6" s="10"/>
      <c r="AH6" s="10"/>
      <c r="AI6" s="10"/>
      <c r="AJ6" s="10">
        <v>141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>
        <v>1320</v>
      </c>
      <c r="BB6" s="10"/>
      <c r="BC6" s="10"/>
      <c r="BD6" s="10"/>
      <c r="BE6" s="10"/>
      <c r="BF6" s="10">
        <v>1872</v>
      </c>
      <c r="BG6" s="10"/>
      <c r="BH6" s="10"/>
      <c r="BI6" s="10"/>
      <c r="BJ6" s="10"/>
      <c r="BK6" s="10"/>
      <c r="BL6" s="10"/>
      <c r="BM6" s="10"/>
      <c r="BN6" s="10"/>
      <c r="BO6" s="10"/>
      <c r="BP6" s="10">
        <v>1438</v>
      </c>
      <c r="BQ6" s="10"/>
      <c r="BR6" s="10"/>
      <c r="BS6" s="10">
        <v>162</v>
      </c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>
        <v>94</v>
      </c>
      <c r="CG6" s="10"/>
      <c r="CH6" s="10"/>
      <c r="CI6" s="10"/>
      <c r="CJ6" s="10"/>
      <c r="CK6" s="10"/>
      <c r="CL6" s="10"/>
      <c r="CM6" s="10">
        <v>1948</v>
      </c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>
        <v>1670</v>
      </c>
      <c r="DW6" s="10"/>
      <c r="DX6" s="10"/>
      <c r="DY6" s="10">
        <v>1670</v>
      </c>
      <c r="DZ6" s="46">
        <f t="shared" si="1"/>
        <v>3340</v>
      </c>
      <c r="EA6" s="64">
        <v>46204</v>
      </c>
      <c r="EB6" s="64">
        <v>46198</v>
      </c>
      <c r="EC6" s="71">
        <f t="shared" si="0"/>
        <v>-6</v>
      </c>
      <c r="ED6" s="70"/>
    </row>
    <row r="7" spans="1:135" x14ac:dyDescent="0.3">
      <c r="A7" s="55">
        <v>5</v>
      </c>
      <c r="B7" s="8" t="s">
        <v>13</v>
      </c>
      <c r="C7" s="9" t="s">
        <v>14</v>
      </c>
      <c r="D7" s="10">
        <v>0</v>
      </c>
      <c r="E7" s="10"/>
      <c r="F7" s="10"/>
      <c r="G7" s="10">
        <v>0</v>
      </c>
      <c r="H7" s="10">
        <v>0</v>
      </c>
      <c r="I7" s="10"/>
      <c r="J7" s="10"/>
      <c r="K7" s="10"/>
      <c r="L7" s="10">
        <v>0</v>
      </c>
      <c r="M7" s="10"/>
      <c r="N7" s="10"/>
      <c r="O7" s="10"/>
      <c r="P7" s="10"/>
      <c r="Q7" s="10">
        <v>0</v>
      </c>
      <c r="R7" s="10"/>
      <c r="S7" s="10"/>
      <c r="T7" s="10"/>
      <c r="U7" s="10"/>
      <c r="V7" s="10"/>
      <c r="W7" s="10"/>
      <c r="X7" s="10"/>
      <c r="Y7" s="10"/>
      <c r="Z7" s="10">
        <v>1640</v>
      </c>
      <c r="AA7" s="10"/>
      <c r="AB7" s="10"/>
      <c r="AC7" s="10"/>
      <c r="AD7" s="10"/>
      <c r="AE7" s="10"/>
      <c r="AF7" s="10"/>
      <c r="AG7" s="10"/>
      <c r="AH7" s="10"/>
      <c r="AI7" s="10"/>
      <c r="AJ7" s="10">
        <v>112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>
        <v>1337</v>
      </c>
      <c r="BB7" s="10"/>
      <c r="BC7" s="10"/>
      <c r="BD7" s="10"/>
      <c r="BE7" s="10"/>
      <c r="BF7" s="10">
        <v>1660</v>
      </c>
      <c r="BG7" s="10"/>
      <c r="BH7" s="10"/>
      <c r="BI7" s="10"/>
      <c r="BJ7" s="10"/>
      <c r="BK7" s="10"/>
      <c r="BL7" s="10"/>
      <c r="BM7" s="10"/>
      <c r="BN7" s="10"/>
      <c r="BO7" s="10"/>
      <c r="BP7" s="10">
        <v>1422</v>
      </c>
      <c r="BQ7" s="10"/>
      <c r="BR7" s="10"/>
      <c r="BS7" s="10">
        <v>153</v>
      </c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>
        <v>30</v>
      </c>
      <c r="CG7" s="10"/>
      <c r="CH7" s="10"/>
      <c r="CI7" s="10"/>
      <c r="CJ7" s="10"/>
      <c r="CK7" s="10"/>
      <c r="CL7" s="10"/>
      <c r="CM7" s="10">
        <v>1443</v>
      </c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>
        <v>2003</v>
      </c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>
        <v>1670</v>
      </c>
      <c r="DX7" s="10"/>
      <c r="DY7" s="10"/>
      <c r="DZ7" s="46">
        <f t="shared" si="1"/>
        <v>1670</v>
      </c>
      <c r="EA7" s="64">
        <v>46223</v>
      </c>
      <c r="EB7" s="64">
        <v>46198</v>
      </c>
      <c r="EC7" s="71">
        <f t="shared" si="0"/>
        <v>-25</v>
      </c>
      <c r="ED7" s="70"/>
    </row>
    <row r="8" spans="1:135" x14ac:dyDescent="0.3">
      <c r="A8" s="55">
        <v>6</v>
      </c>
      <c r="B8" s="8" t="s">
        <v>15</v>
      </c>
      <c r="C8" s="9" t="s">
        <v>16</v>
      </c>
      <c r="D8" s="10">
        <v>0</v>
      </c>
      <c r="E8" s="10"/>
      <c r="F8" s="10"/>
      <c r="G8" s="10">
        <v>0</v>
      </c>
      <c r="H8" s="10">
        <v>0</v>
      </c>
      <c r="I8" s="10"/>
      <c r="J8" s="10"/>
      <c r="K8" s="10"/>
      <c r="L8" s="10">
        <v>0</v>
      </c>
      <c r="M8" s="10"/>
      <c r="N8" s="10"/>
      <c r="O8" s="10"/>
      <c r="P8" s="10"/>
      <c r="Q8" s="10">
        <v>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>
        <v>1466</v>
      </c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>
        <v>1327</v>
      </c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>
        <v>1910</v>
      </c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>
        <v>1670</v>
      </c>
      <c r="DV8" s="10"/>
      <c r="DW8" s="10"/>
      <c r="DX8" s="10"/>
      <c r="DY8" s="10"/>
      <c r="DZ8" s="46">
        <f t="shared" si="1"/>
        <v>1670</v>
      </c>
      <c r="EA8" s="64">
        <v>46206</v>
      </c>
      <c r="EB8" s="64">
        <v>46198</v>
      </c>
      <c r="EC8" s="71">
        <f t="shared" si="0"/>
        <v>-8</v>
      </c>
      <c r="ED8" s="70"/>
    </row>
    <row r="9" spans="1:135" x14ac:dyDescent="0.3">
      <c r="A9" s="55">
        <v>7</v>
      </c>
      <c r="B9" s="13" t="s">
        <v>17</v>
      </c>
      <c r="C9" s="14" t="s">
        <v>18</v>
      </c>
      <c r="D9" s="10">
        <v>0</v>
      </c>
      <c r="E9" s="10"/>
      <c r="F9" s="10"/>
      <c r="G9" s="10">
        <v>0</v>
      </c>
      <c r="H9" s="10">
        <v>0</v>
      </c>
      <c r="I9" s="10"/>
      <c r="J9" s="10"/>
      <c r="K9" s="10"/>
      <c r="L9" s="10">
        <v>0</v>
      </c>
      <c r="M9" s="10"/>
      <c r="N9" s="10"/>
      <c r="O9" s="10"/>
      <c r="P9" s="10"/>
      <c r="Q9" s="10">
        <v>0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46">
        <f t="shared" si="1"/>
        <v>0</v>
      </c>
      <c r="EA9" s="64"/>
      <c r="EB9" s="64"/>
      <c r="EC9" s="71">
        <f t="shared" si="0"/>
        <v>0</v>
      </c>
      <c r="ED9" s="70"/>
    </row>
    <row r="10" spans="1:135" x14ac:dyDescent="0.3">
      <c r="A10" s="55">
        <v>8</v>
      </c>
      <c r="B10" s="13" t="s">
        <v>19</v>
      </c>
      <c r="C10" s="14" t="s">
        <v>20</v>
      </c>
      <c r="D10" s="10">
        <v>0</v>
      </c>
      <c r="E10" s="10"/>
      <c r="F10" s="10"/>
      <c r="G10" s="10">
        <v>0</v>
      </c>
      <c r="H10" s="10">
        <v>0</v>
      </c>
      <c r="I10" s="10"/>
      <c r="J10" s="10"/>
      <c r="K10" s="10"/>
      <c r="L10" s="10">
        <v>0</v>
      </c>
      <c r="M10" s="10"/>
      <c r="N10" s="10"/>
      <c r="O10" s="10"/>
      <c r="P10" s="10"/>
      <c r="Q10" s="10">
        <v>0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46">
        <f t="shared" si="1"/>
        <v>0</v>
      </c>
      <c r="EA10" s="64"/>
      <c r="EB10" s="64"/>
      <c r="EC10" s="71">
        <f t="shared" si="0"/>
        <v>0</v>
      </c>
      <c r="ED10" s="70"/>
    </row>
    <row r="11" spans="1:135" x14ac:dyDescent="0.3">
      <c r="A11" s="55">
        <v>9</v>
      </c>
      <c r="B11" s="13" t="s">
        <v>21</v>
      </c>
      <c r="C11" s="14" t="s">
        <v>22</v>
      </c>
      <c r="D11" s="10">
        <v>0</v>
      </c>
      <c r="E11" s="10"/>
      <c r="F11" s="10"/>
      <c r="G11" s="10">
        <v>0</v>
      </c>
      <c r="H11" s="10">
        <v>0</v>
      </c>
      <c r="I11" s="10"/>
      <c r="J11" s="10"/>
      <c r="K11" s="10"/>
      <c r="L11" s="10">
        <v>0</v>
      </c>
      <c r="M11" s="10"/>
      <c r="N11" s="10"/>
      <c r="O11" s="10"/>
      <c r="P11" s="10"/>
      <c r="Q11" s="10">
        <v>0</v>
      </c>
      <c r="R11" s="10"/>
      <c r="S11" s="10">
        <v>202</v>
      </c>
      <c r="T11" s="10"/>
      <c r="U11" s="10"/>
      <c r="V11" s="10"/>
      <c r="W11" s="10"/>
      <c r="X11" s="10"/>
      <c r="Y11" s="10"/>
      <c r="Z11" s="10"/>
      <c r="AA11" s="10">
        <v>225</v>
      </c>
      <c r="AB11" s="10"/>
      <c r="AC11" s="10"/>
      <c r="AD11" s="10"/>
      <c r="AE11" s="10"/>
      <c r="AF11" s="10"/>
      <c r="AG11" s="10"/>
      <c r="AH11" s="10"/>
      <c r="AI11" s="10"/>
      <c r="AJ11" s="10">
        <v>528</v>
      </c>
      <c r="AK11" s="10"/>
      <c r="AL11" s="10"/>
      <c r="AM11" s="10"/>
      <c r="AN11" s="10"/>
      <c r="AO11" s="10"/>
      <c r="AP11" s="10"/>
      <c r="AQ11" s="10"/>
      <c r="AR11" s="10"/>
      <c r="AS11" s="10">
        <v>834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>
        <v>855</v>
      </c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46">
        <f t="shared" si="1"/>
        <v>0</v>
      </c>
      <c r="EA11" s="64"/>
      <c r="EB11" s="64"/>
      <c r="EC11" s="71">
        <f t="shared" si="0"/>
        <v>0</v>
      </c>
      <c r="ED11" s="70"/>
    </row>
    <row r="12" spans="1:135" x14ac:dyDescent="0.3">
      <c r="A12" s="55">
        <v>10</v>
      </c>
      <c r="B12" s="13" t="s">
        <v>23</v>
      </c>
      <c r="C12" s="14" t="s">
        <v>24</v>
      </c>
      <c r="D12" s="10">
        <v>0</v>
      </c>
      <c r="E12" s="10"/>
      <c r="F12" s="10"/>
      <c r="G12" s="10">
        <v>0</v>
      </c>
      <c r="H12" s="10">
        <v>0</v>
      </c>
      <c r="I12" s="10"/>
      <c r="J12" s="10"/>
      <c r="K12" s="10"/>
      <c r="L12" s="10">
        <v>0</v>
      </c>
      <c r="M12" s="10"/>
      <c r="N12" s="10"/>
      <c r="O12" s="10"/>
      <c r="P12" s="10"/>
      <c r="Q12" s="10">
        <v>0</v>
      </c>
      <c r="R12" s="10"/>
      <c r="S12" s="10"/>
      <c r="T12" s="10"/>
      <c r="U12" s="10"/>
      <c r="V12" s="10"/>
      <c r="W12" s="10"/>
      <c r="X12" s="10">
        <v>2250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>
        <v>5000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>
        <v>4580</v>
      </c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46">
        <f t="shared" si="1"/>
        <v>0</v>
      </c>
      <c r="EA12" s="64"/>
      <c r="EB12" s="64"/>
      <c r="EC12" s="71">
        <f t="shared" si="0"/>
        <v>0</v>
      </c>
      <c r="ED12" s="70"/>
    </row>
    <row r="13" spans="1:135" x14ac:dyDescent="0.3">
      <c r="A13" s="55">
        <v>11</v>
      </c>
      <c r="B13" s="13" t="s">
        <v>25</v>
      </c>
      <c r="C13" s="14" t="s">
        <v>26</v>
      </c>
      <c r="D13" s="10">
        <v>0</v>
      </c>
      <c r="E13" s="10"/>
      <c r="F13" s="10"/>
      <c r="G13" s="10">
        <v>0</v>
      </c>
      <c r="H13" s="10">
        <v>0</v>
      </c>
      <c r="I13" s="10">
        <v>2260</v>
      </c>
      <c r="J13" s="10"/>
      <c r="K13" s="10"/>
      <c r="L13" s="10"/>
      <c r="M13" s="10"/>
      <c r="N13" s="10"/>
      <c r="O13" s="10"/>
      <c r="P13" s="10"/>
      <c r="Q13" s="10">
        <v>0</v>
      </c>
      <c r="R13" s="10"/>
      <c r="S13" s="10"/>
      <c r="T13" s="10"/>
      <c r="U13" s="10">
        <v>2050</v>
      </c>
      <c r="V13" s="10"/>
      <c r="W13" s="10"/>
      <c r="X13" s="10"/>
      <c r="Y13" s="10">
        <v>2350</v>
      </c>
      <c r="Z13" s="10"/>
      <c r="AA13" s="10"/>
      <c r="AB13" s="10"/>
      <c r="AC13" s="10"/>
      <c r="AD13" s="10"/>
      <c r="AE13" s="10"/>
      <c r="AF13" s="10"/>
      <c r="AG13" s="10"/>
      <c r="AH13" s="10">
        <v>3000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>
        <v>6000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>
        <v>3000</v>
      </c>
      <c r="DG13" s="10"/>
      <c r="DH13" s="10"/>
      <c r="DI13" s="10"/>
      <c r="DJ13" s="10"/>
      <c r="DK13" s="10"/>
      <c r="DL13" s="10"/>
      <c r="DM13" s="10"/>
      <c r="DN13" s="10"/>
      <c r="DO13" s="10"/>
      <c r="DP13" s="34"/>
      <c r="DQ13" s="10"/>
      <c r="DR13" s="10"/>
      <c r="DS13" s="10"/>
      <c r="DT13" s="10">
        <f>6450-DF13-(3450)</f>
        <v>0</v>
      </c>
      <c r="DU13" s="10"/>
      <c r="DV13" s="10"/>
      <c r="DW13" s="10"/>
      <c r="DX13" s="10"/>
      <c r="DY13" s="10"/>
      <c r="DZ13" s="46">
        <f t="shared" si="1"/>
        <v>0</v>
      </c>
      <c r="EA13" s="64"/>
      <c r="EB13" s="64"/>
      <c r="EC13" s="71">
        <f t="shared" si="0"/>
        <v>0</v>
      </c>
      <c r="ED13" s="70"/>
    </row>
    <row r="14" spans="1:135" x14ac:dyDescent="0.3">
      <c r="A14" s="55">
        <v>12</v>
      </c>
      <c r="B14" s="13" t="s">
        <v>27</v>
      </c>
      <c r="C14" s="14" t="s">
        <v>28</v>
      </c>
      <c r="D14" s="10">
        <v>0</v>
      </c>
      <c r="E14" s="10"/>
      <c r="F14" s="10"/>
      <c r="G14" s="10">
        <v>0</v>
      </c>
      <c r="H14" s="10">
        <v>0</v>
      </c>
      <c r="I14" s="10"/>
      <c r="J14" s="10"/>
      <c r="K14" s="10"/>
      <c r="L14" s="10">
        <v>0</v>
      </c>
      <c r="M14" s="10"/>
      <c r="N14" s="10"/>
      <c r="O14" s="10"/>
      <c r="P14" s="10"/>
      <c r="Q14" s="10">
        <v>0</v>
      </c>
      <c r="R14" s="10"/>
      <c r="S14" s="10"/>
      <c r="T14" s="10">
        <v>3000</v>
      </c>
      <c r="U14" s="10"/>
      <c r="V14" s="10"/>
      <c r="W14" s="10"/>
      <c r="X14" s="10"/>
      <c r="Y14" s="10"/>
      <c r="Z14" s="10"/>
      <c r="AA14" s="10">
        <v>2000</v>
      </c>
      <c r="AB14" s="10"/>
      <c r="AC14" s="10"/>
      <c r="AD14" s="10"/>
      <c r="AE14" s="10">
        <v>2110</v>
      </c>
      <c r="AF14" s="10"/>
      <c r="AG14" s="10"/>
      <c r="AH14" s="10"/>
      <c r="AI14" s="10"/>
      <c r="AJ14" s="10"/>
      <c r="AK14" s="10"/>
      <c r="AL14" s="10">
        <v>2020</v>
      </c>
      <c r="AM14" s="10"/>
      <c r="AN14" s="10"/>
      <c r="AO14" s="10"/>
      <c r="AP14" s="10"/>
      <c r="AQ14" s="10"/>
      <c r="AR14" s="10"/>
      <c r="AS14" s="10"/>
      <c r="AT14" s="10">
        <v>3000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>
        <v>5050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>
        <v>4830</v>
      </c>
      <c r="CB14" s="10"/>
      <c r="CC14" s="10"/>
      <c r="CD14" s="10"/>
      <c r="CE14" s="10"/>
      <c r="CF14" s="10"/>
      <c r="CG14" s="10"/>
      <c r="CH14" s="10"/>
      <c r="CI14" s="10"/>
      <c r="CJ14" s="10">
        <v>2500</v>
      </c>
      <c r="CK14" s="10"/>
      <c r="CL14" s="10"/>
      <c r="CM14" s="10"/>
      <c r="CN14" s="10"/>
      <c r="CO14" s="10"/>
      <c r="CP14" s="10"/>
      <c r="CQ14" s="10"/>
      <c r="CR14" s="10">
        <v>1500</v>
      </c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>
        <v>3000</v>
      </c>
      <c r="DG14" s="10"/>
      <c r="DH14" s="10"/>
      <c r="DI14" s="10"/>
      <c r="DJ14" s="10"/>
      <c r="DK14" s="10"/>
      <c r="DL14" s="10"/>
      <c r="DM14" s="10"/>
      <c r="DN14" s="10">
        <f>3600</f>
        <v>3600</v>
      </c>
      <c r="DO14" s="10">
        <v>1810</v>
      </c>
      <c r="DP14" s="34"/>
      <c r="DQ14" s="10"/>
      <c r="DR14" s="10"/>
      <c r="DS14" s="10"/>
      <c r="DT14" s="10">
        <f>6450-DF14-(3450)</f>
        <v>0</v>
      </c>
      <c r="DU14" s="10"/>
      <c r="DV14" s="10"/>
      <c r="DW14" s="10">
        <f>6450-DN14-DO14-(1040)</f>
        <v>0</v>
      </c>
      <c r="DX14" s="10"/>
      <c r="DY14" s="10">
        <v>6450</v>
      </c>
      <c r="DZ14" s="46">
        <f t="shared" si="1"/>
        <v>6450</v>
      </c>
      <c r="EA14" s="64"/>
      <c r="EB14" s="64"/>
      <c r="EC14" s="71">
        <f t="shared" si="0"/>
        <v>0</v>
      </c>
      <c r="ED14" s="70"/>
    </row>
    <row r="15" spans="1:135" x14ac:dyDescent="0.3">
      <c r="A15" s="55">
        <v>13</v>
      </c>
      <c r="B15" s="13" t="s">
        <v>29</v>
      </c>
      <c r="C15" s="14" t="s">
        <v>30</v>
      </c>
      <c r="D15" s="10">
        <v>0</v>
      </c>
      <c r="E15" s="10"/>
      <c r="F15" s="10"/>
      <c r="G15" s="10">
        <v>0</v>
      </c>
      <c r="H15" s="10">
        <v>0</v>
      </c>
      <c r="I15" s="10"/>
      <c r="J15" s="10"/>
      <c r="K15" s="10"/>
      <c r="L15" s="10">
        <v>0</v>
      </c>
      <c r="M15" s="10"/>
      <c r="N15" s="10"/>
      <c r="O15" s="10"/>
      <c r="P15" s="10"/>
      <c r="Q15" s="10">
        <v>0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>
        <v>2450</v>
      </c>
      <c r="AN15" s="10"/>
      <c r="AO15" s="10"/>
      <c r="AP15" s="10"/>
      <c r="AQ15" s="10"/>
      <c r="AR15" s="10"/>
      <c r="AS15" s="10"/>
      <c r="AT15" s="10"/>
      <c r="AU15" s="10">
        <v>2470</v>
      </c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>
        <v>2695</v>
      </c>
      <c r="CM15" s="10"/>
      <c r="CN15" s="10"/>
      <c r="CO15" s="10">
        <v>3110</v>
      </c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34"/>
      <c r="DQ15" s="10"/>
      <c r="DR15" s="10"/>
      <c r="DS15" s="10"/>
      <c r="DT15" s="10"/>
      <c r="DU15" s="10"/>
      <c r="DV15" s="10"/>
      <c r="DW15" s="10"/>
      <c r="DX15" s="10"/>
      <c r="DY15" s="10">
        <v>3200</v>
      </c>
      <c r="DZ15" s="46">
        <f t="shared" si="1"/>
        <v>3200</v>
      </c>
      <c r="EA15" s="64"/>
      <c r="EB15" s="64"/>
      <c r="EC15" s="71">
        <f t="shared" si="0"/>
        <v>0</v>
      </c>
      <c r="ED15" s="70"/>
      <c r="EE15" s="51"/>
    </row>
    <row r="16" spans="1:135" x14ac:dyDescent="0.3">
      <c r="A16" s="55">
        <v>14</v>
      </c>
      <c r="B16" s="13" t="s">
        <v>31</v>
      </c>
      <c r="C16" s="14" t="s">
        <v>32</v>
      </c>
      <c r="D16" s="10">
        <v>0</v>
      </c>
      <c r="E16" s="10"/>
      <c r="F16" s="10"/>
      <c r="G16" s="10">
        <v>0</v>
      </c>
      <c r="H16" s="10">
        <v>0</v>
      </c>
      <c r="I16" s="10"/>
      <c r="J16" s="10"/>
      <c r="K16" s="10"/>
      <c r="L16" s="10">
        <v>0</v>
      </c>
      <c r="M16" s="10"/>
      <c r="N16" s="10">
        <v>2374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v>2580</v>
      </c>
      <c r="AK16" s="10"/>
      <c r="AL16" s="10"/>
      <c r="AM16" s="10">
        <v>2748</v>
      </c>
      <c r="AN16" s="10"/>
      <c r="AO16" s="10"/>
      <c r="AP16" s="10"/>
      <c r="AQ16" s="10"/>
      <c r="AR16" s="10"/>
      <c r="AS16" s="10"/>
      <c r="AT16" s="10"/>
      <c r="AU16" s="10"/>
      <c r="AV16" s="10">
        <v>2470</v>
      </c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>
        <v>2628</v>
      </c>
      <c r="CL16" s="10"/>
      <c r="CM16" s="10"/>
      <c r="CN16" s="10"/>
      <c r="CO16" s="10"/>
      <c r="CP16" s="10"/>
      <c r="CQ16" s="10"/>
      <c r="CR16" s="10">
        <v>3615</v>
      </c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34"/>
      <c r="DQ16" s="10"/>
      <c r="DR16" s="10"/>
      <c r="DS16" s="10"/>
      <c r="DT16" s="10">
        <v>3200</v>
      </c>
      <c r="DU16" s="10"/>
      <c r="DV16" s="10"/>
      <c r="DW16" s="10"/>
      <c r="DX16" s="10"/>
      <c r="DY16" s="10"/>
      <c r="DZ16" s="46">
        <f t="shared" si="1"/>
        <v>3200</v>
      </c>
      <c r="EA16" s="64">
        <v>46192</v>
      </c>
      <c r="EB16" s="64">
        <v>46199</v>
      </c>
      <c r="EC16" s="71">
        <f t="shared" si="0"/>
        <v>7</v>
      </c>
      <c r="ED16" s="70"/>
    </row>
    <row r="17" spans="1:134" x14ac:dyDescent="0.3">
      <c r="A17" s="55">
        <v>15</v>
      </c>
      <c r="B17" s="13" t="s">
        <v>33</v>
      </c>
      <c r="C17" s="14" t="s">
        <v>34</v>
      </c>
      <c r="D17" s="10">
        <v>0</v>
      </c>
      <c r="E17" s="10"/>
      <c r="F17" s="10"/>
      <c r="G17" s="10">
        <v>0</v>
      </c>
      <c r="H17" s="10">
        <v>0</v>
      </c>
      <c r="I17" s="10">
        <v>2575</v>
      </c>
      <c r="J17" s="10"/>
      <c r="K17" s="10"/>
      <c r="L17" s="10">
        <v>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2615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2300</v>
      </c>
      <c r="AK17" s="10"/>
      <c r="AL17" s="10"/>
      <c r="AM17" s="10">
        <v>2740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>
        <v>2680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>
        <v>4046</v>
      </c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>
        <v>2868</v>
      </c>
      <c r="CM17" s="10"/>
      <c r="CN17" s="10"/>
      <c r="CO17" s="10"/>
      <c r="CP17" s="10"/>
      <c r="CQ17" s="10"/>
      <c r="CR17" s="10"/>
      <c r="CS17" s="10"/>
      <c r="CT17" s="10"/>
      <c r="CU17" s="10"/>
      <c r="CV17" s="10">
        <v>3400</v>
      </c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34"/>
      <c r="DQ17" s="10"/>
      <c r="DR17" s="10"/>
      <c r="DS17" s="10"/>
      <c r="DT17" s="10"/>
      <c r="DU17" s="10"/>
      <c r="DV17" s="10"/>
      <c r="DW17" s="10"/>
      <c r="DX17" s="10"/>
      <c r="DY17" s="10">
        <v>3200</v>
      </c>
      <c r="DZ17" s="46">
        <f t="shared" si="1"/>
        <v>3200</v>
      </c>
      <c r="EA17" s="64"/>
      <c r="EB17" s="64"/>
      <c r="EC17" s="71">
        <f t="shared" si="0"/>
        <v>0</v>
      </c>
      <c r="ED17" s="70"/>
    </row>
    <row r="18" spans="1:134" x14ac:dyDescent="0.3">
      <c r="A18" s="55">
        <v>16</v>
      </c>
      <c r="B18" s="13" t="s">
        <v>35</v>
      </c>
      <c r="C18" s="14" t="s">
        <v>36</v>
      </c>
      <c r="D18" s="10">
        <v>0</v>
      </c>
      <c r="E18" s="10"/>
      <c r="F18" s="10"/>
      <c r="G18" s="10">
        <v>0</v>
      </c>
      <c r="H18" s="10">
        <v>0</v>
      </c>
      <c r="I18" s="10"/>
      <c r="J18" s="10"/>
      <c r="K18" s="10"/>
      <c r="L18" s="10">
        <v>0</v>
      </c>
      <c r="M18" s="10"/>
      <c r="N18" s="10">
        <v>2800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>
        <v>2700</v>
      </c>
      <c r="AI18" s="10"/>
      <c r="AJ18" s="10"/>
      <c r="AK18" s="10">
        <v>2880</v>
      </c>
      <c r="AL18" s="10"/>
      <c r="AM18" s="10"/>
      <c r="AN18" s="10"/>
      <c r="AO18" s="10">
        <v>1840</v>
      </c>
      <c r="AP18" s="10"/>
      <c r="AQ18" s="10"/>
      <c r="AR18" s="10"/>
      <c r="AS18" s="10"/>
      <c r="AT18" s="10">
        <v>2340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>
        <v>2402</v>
      </c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>
        <v>4155</v>
      </c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>
        <v>3050</v>
      </c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>
        <v>2955</v>
      </c>
      <c r="DG18" s="10"/>
      <c r="DH18" s="10"/>
      <c r="DI18" s="10"/>
      <c r="DJ18" s="10"/>
      <c r="DK18" s="10"/>
      <c r="DL18" s="10"/>
      <c r="DM18" s="10"/>
      <c r="DN18" s="10"/>
      <c r="DO18" s="10"/>
      <c r="DP18" s="34"/>
      <c r="DQ18" s="10"/>
      <c r="DR18" s="10"/>
      <c r="DS18" s="10"/>
      <c r="DT18" s="10">
        <f>3200-DF18-(245)</f>
        <v>0</v>
      </c>
      <c r="DU18" s="10"/>
      <c r="DV18" s="10"/>
      <c r="DW18" s="10"/>
      <c r="DX18" s="10"/>
      <c r="DY18" s="10"/>
      <c r="DZ18" s="46">
        <f t="shared" si="1"/>
        <v>0</v>
      </c>
      <c r="EA18" s="64"/>
      <c r="EB18" s="64"/>
      <c r="EC18" s="71">
        <f t="shared" si="0"/>
        <v>0</v>
      </c>
      <c r="ED18" s="70"/>
    </row>
    <row r="19" spans="1:134" x14ac:dyDescent="0.3">
      <c r="A19" s="55">
        <v>17</v>
      </c>
      <c r="B19" s="13" t="s">
        <v>37</v>
      </c>
      <c r="C19" s="14" t="s">
        <v>38</v>
      </c>
      <c r="D19" s="10">
        <v>0</v>
      </c>
      <c r="E19" s="10"/>
      <c r="F19" s="10"/>
      <c r="G19" s="10">
        <v>0</v>
      </c>
      <c r="H19" s="10">
        <v>0</v>
      </c>
      <c r="I19" s="10"/>
      <c r="J19" s="10">
        <v>2160</v>
      </c>
      <c r="K19" s="10"/>
      <c r="L19" s="10">
        <v>0</v>
      </c>
      <c r="M19" s="10"/>
      <c r="N19" s="10"/>
      <c r="O19" s="10"/>
      <c r="P19" s="10"/>
      <c r="Q19" s="10"/>
      <c r="R19" s="10">
        <v>3000</v>
      </c>
      <c r="S19" s="10"/>
      <c r="T19" s="10">
        <v>2950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3830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>
        <v>2640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>
        <v>3020</v>
      </c>
      <c r="CK19" s="10"/>
      <c r="CL19" s="10"/>
      <c r="CM19" s="10"/>
      <c r="CN19" s="10"/>
      <c r="CO19" s="10"/>
      <c r="CP19" s="10"/>
      <c r="CQ19" s="10"/>
      <c r="CR19" s="10">
        <v>3210</v>
      </c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>
        <v>2660</v>
      </c>
      <c r="DG19" s="10"/>
      <c r="DH19" s="10"/>
      <c r="DI19" s="10"/>
      <c r="DJ19" s="10"/>
      <c r="DK19" s="10"/>
      <c r="DL19" s="10"/>
      <c r="DM19" s="10"/>
      <c r="DN19" s="10"/>
      <c r="DO19" s="10"/>
      <c r="DP19" s="34"/>
      <c r="DQ19" s="10"/>
      <c r="DR19" s="10"/>
      <c r="DS19" s="10"/>
      <c r="DT19" s="10">
        <f>3200-DF19-(540)</f>
        <v>0</v>
      </c>
      <c r="DU19" s="10"/>
      <c r="DV19" s="10"/>
      <c r="DW19" s="10"/>
      <c r="DX19" s="10"/>
      <c r="DY19" s="10"/>
      <c r="DZ19" s="46">
        <f t="shared" si="1"/>
        <v>0</v>
      </c>
      <c r="EA19" s="64"/>
      <c r="EB19" s="64"/>
      <c r="EC19" s="71">
        <f t="shared" si="0"/>
        <v>0</v>
      </c>
      <c r="ED19" s="70"/>
    </row>
    <row r="20" spans="1:134" x14ac:dyDescent="0.3">
      <c r="A20" s="55">
        <v>18</v>
      </c>
      <c r="B20" s="13" t="s">
        <v>39</v>
      </c>
      <c r="C20" s="14" t="s">
        <v>40</v>
      </c>
      <c r="D20" s="10">
        <v>0</v>
      </c>
      <c r="E20" s="10"/>
      <c r="F20" s="10"/>
      <c r="G20" s="10">
        <v>0</v>
      </c>
      <c r="H20" s="10">
        <v>0</v>
      </c>
      <c r="I20" s="10"/>
      <c r="J20" s="10"/>
      <c r="K20" s="10"/>
      <c r="L20" s="10">
        <v>0</v>
      </c>
      <c r="M20" s="10"/>
      <c r="N20" s="10"/>
      <c r="O20" s="10"/>
      <c r="P20" s="10"/>
      <c r="Q20" s="10">
        <v>0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>
        <v>2880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>
        <v>2400</v>
      </c>
      <c r="BJ20" s="10">
        <v>1530</v>
      </c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>
        <v>3399</v>
      </c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34"/>
      <c r="DQ20" s="10"/>
      <c r="DR20" s="10"/>
      <c r="DS20" s="10"/>
      <c r="DT20" s="10"/>
      <c r="DU20" s="10"/>
      <c r="DV20" s="10"/>
      <c r="DW20" s="10"/>
      <c r="DX20" s="10"/>
      <c r="DY20" s="10"/>
      <c r="DZ20" s="46">
        <f t="shared" si="1"/>
        <v>0</v>
      </c>
      <c r="EA20" s="64"/>
      <c r="EB20" s="64"/>
      <c r="EC20" s="71">
        <f t="shared" si="0"/>
        <v>0</v>
      </c>
      <c r="ED20" s="70"/>
    </row>
    <row r="21" spans="1:134" x14ac:dyDescent="0.3">
      <c r="A21" s="55">
        <v>19</v>
      </c>
      <c r="B21" s="13" t="s">
        <v>41</v>
      </c>
      <c r="C21" s="14" t="s">
        <v>42</v>
      </c>
      <c r="D21" s="10">
        <v>0</v>
      </c>
      <c r="E21" s="10"/>
      <c r="F21" s="10"/>
      <c r="G21" s="10">
        <v>0</v>
      </c>
      <c r="H21" s="10">
        <v>0</v>
      </c>
      <c r="I21" s="10"/>
      <c r="J21" s="10"/>
      <c r="K21" s="10"/>
      <c r="L21" s="10">
        <v>0</v>
      </c>
      <c r="M21" s="10"/>
      <c r="N21" s="10"/>
      <c r="O21" s="10"/>
      <c r="P21" s="10"/>
      <c r="Q21" s="10">
        <v>0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>
        <v>2740</v>
      </c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>
        <v>1650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>
        <v>4080</v>
      </c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>
        <v>3060</v>
      </c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34"/>
      <c r="DQ21" s="10"/>
      <c r="DR21" s="10"/>
      <c r="DS21" s="10"/>
      <c r="DT21" s="10"/>
      <c r="DU21" s="10"/>
      <c r="DV21" s="10"/>
      <c r="DW21" s="10"/>
      <c r="DX21" s="10"/>
      <c r="DY21" s="10"/>
      <c r="DZ21" s="46">
        <f t="shared" si="1"/>
        <v>0</v>
      </c>
      <c r="EA21" s="64"/>
      <c r="EB21" s="64"/>
      <c r="EC21" s="71">
        <f t="shared" si="0"/>
        <v>0</v>
      </c>
      <c r="ED21" s="70"/>
    </row>
    <row r="22" spans="1:134" x14ac:dyDescent="0.3">
      <c r="A22" s="55">
        <v>20</v>
      </c>
      <c r="B22" s="8" t="s">
        <v>43</v>
      </c>
      <c r="C22" s="9" t="s">
        <v>44</v>
      </c>
      <c r="D22" s="10">
        <v>1500</v>
      </c>
      <c r="E22" s="10"/>
      <c r="F22" s="10"/>
      <c r="G22" s="10">
        <v>0</v>
      </c>
      <c r="H22" s="10">
        <v>0</v>
      </c>
      <c r="I22" s="10"/>
      <c r="J22" s="10"/>
      <c r="K22" s="10"/>
      <c r="L22" s="10">
        <v>0</v>
      </c>
      <c r="M22" s="10"/>
      <c r="N22" s="10">
        <v>1223</v>
      </c>
      <c r="O22" s="10"/>
      <c r="P22" s="10"/>
      <c r="Q22" s="10">
        <v>0</v>
      </c>
      <c r="R22" s="10"/>
      <c r="S22" s="10"/>
      <c r="T22" s="10"/>
      <c r="U22" s="10"/>
      <c r="V22" s="10"/>
      <c r="W22" s="10"/>
      <c r="X22" s="10"/>
      <c r="Y22" s="10">
        <v>187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>
        <v>1551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>
        <f>1368</f>
        <v>1368</v>
      </c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34"/>
      <c r="DQ22" s="10"/>
      <c r="DR22" s="10"/>
      <c r="DS22" s="10"/>
      <c r="DT22" s="10"/>
      <c r="DU22" s="10"/>
      <c r="DV22" s="10"/>
      <c r="DW22" s="10"/>
      <c r="DX22" s="10">
        <v>990</v>
      </c>
      <c r="DY22" s="10"/>
      <c r="DZ22" s="46">
        <f t="shared" si="1"/>
        <v>990</v>
      </c>
      <c r="EA22" s="64">
        <v>46223</v>
      </c>
      <c r="EB22" s="64">
        <v>46218</v>
      </c>
      <c r="EC22" s="71">
        <f t="shared" si="0"/>
        <v>-5</v>
      </c>
      <c r="ED22" s="70"/>
    </row>
    <row r="23" spans="1:134" x14ac:dyDescent="0.3">
      <c r="A23" s="55">
        <v>21</v>
      </c>
      <c r="B23" s="8" t="s">
        <v>45</v>
      </c>
      <c r="C23" s="9" t="s">
        <v>46</v>
      </c>
      <c r="D23" s="10">
        <v>0</v>
      </c>
      <c r="E23" s="10"/>
      <c r="F23" s="10"/>
      <c r="G23" s="10">
        <v>0</v>
      </c>
      <c r="H23" s="10">
        <v>0</v>
      </c>
      <c r="I23" s="10"/>
      <c r="J23" s="10"/>
      <c r="K23" s="10"/>
      <c r="L23" s="10">
        <v>0</v>
      </c>
      <c r="M23" s="10"/>
      <c r="N23" s="10"/>
      <c r="O23" s="10"/>
      <c r="P23" s="10"/>
      <c r="Q23" s="10">
        <v>0</v>
      </c>
      <c r="R23" s="10"/>
      <c r="S23" s="34"/>
      <c r="T23" s="34"/>
      <c r="U23" s="34">
        <v>420</v>
      </c>
      <c r="V23" s="34">
        <v>145</v>
      </c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>
        <v>1440</v>
      </c>
      <c r="AX23" s="34"/>
      <c r="AY23" s="34"/>
      <c r="AZ23" s="34"/>
      <c r="BA23" s="34"/>
      <c r="BB23" s="34"/>
      <c r="BC23" s="34"/>
      <c r="BD23" s="34"/>
      <c r="BE23" s="34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>
        <v>1503</v>
      </c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>
        <f>1432</f>
        <v>1432</v>
      </c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46">
        <f t="shared" si="1"/>
        <v>0</v>
      </c>
      <c r="EA23" s="64"/>
      <c r="EB23" s="64"/>
      <c r="EC23" s="71">
        <f t="shared" si="0"/>
        <v>0</v>
      </c>
      <c r="ED23" s="70"/>
    </row>
    <row r="24" spans="1:134" x14ac:dyDescent="0.3">
      <c r="A24" s="55">
        <v>22</v>
      </c>
      <c r="B24" s="13" t="s">
        <v>47</v>
      </c>
      <c r="C24" s="14" t="s">
        <v>48</v>
      </c>
      <c r="D24" s="10">
        <v>0</v>
      </c>
      <c r="E24" s="10"/>
      <c r="F24" s="10"/>
      <c r="G24" s="10">
        <v>0</v>
      </c>
      <c r="H24" s="10">
        <v>2354</v>
      </c>
      <c r="I24" s="10"/>
      <c r="J24" s="10"/>
      <c r="K24" s="10"/>
      <c r="L24" s="10">
        <v>0</v>
      </c>
      <c r="M24" s="10">
        <v>3507</v>
      </c>
      <c r="N24" s="10"/>
      <c r="O24" s="10"/>
      <c r="P24" s="10"/>
      <c r="Q24" s="10">
        <f>2880+702</f>
        <v>3582</v>
      </c>
      <c r="R24" s="10">
        <v>2493</v>
      </c>
      <c r="S24" s="34"/>
      <c r="T24" s="34"/>
      <c r="V24" s="34"/>
      <c r="W24" s="34"/>
      <c r="X24" s="34"/>
      <c r="Y24" s="34">
        <v>1181</v>
      </c>
      <c r="Z24" s="34"/>
      <c r="AA24" s="34">
        <v>1410</v>
      </c>
      <c r="AB24" s="34">
        <v>2391</v>
      </c>
      <c r="AC24" s="34">
        <v>630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>
        <v>2725</v>
      </c>
      <c r="AR24" s="34">
        <v>1486</v>
      </c>
      <c r="AS24" s="34"/>
      <c r="AT24" s="34"/>
      <c r="AU24" s="34"/>
      <c r="AV24" s="34"/>
      <c r="AW24" s="34"/>
      <c r="AX24" s="34"/>
      <c r="AY24" s="34"/>
      <c r="AZ24" s="34">
        <v>2880</v>
      </c>
      <c r="BA24" s="34"/>
      <c r="BB24" s="34"/>
      <c r="BC24" s="34">
        <v>4821</v>
      </c>
      <c r="BD24" s="34"/>
      <c r="BE24" s="34"/>
      <c r="BF24" s="10"/>
      <c r="BG24" s="10"/>
      <c r="BH24" s="10"/>
      <c r="BI24" s="10"/>
      <c r="BJ24" s="10"/>
      <c r="BK24" s="10"/>
      <c r="BL24" s="10">
        <v>2160</v>
      </c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>
        <v>2419</v>
      </c>
      <c r="BX24" s="10"/>
      <c r="BY24" s="10">
        <v>2880</v>
      </c>
      <c r="BZ24" s="10">
        <v>360</v>
      </c>
      <c r="CA24" s="10"/>
      <c r="CB24" s="10"/>
      <c r="CC24" s="10"/>
      <c r="CD24" s="10">
        <v>5741</v>
      </c>
      <c r="CE24" s="10"/>
      <c r="CF24" s="10"/>
      <c r="CG24" s="10"/>
      <c r="CH24" s="10"/>
      <c r="CI24" s="10"/>
      <c r="CJ24" s="10"/>
      <c r="CK24" s="10"/>
      <c r="CL24" s="10"/>
      <c r="CM24" s="10"/>
      <c r="CN24" s="10">
        <v>4500</v>
      </c>
      <c r="CO24" s="10"/>
      <c r="CP24" s="10"/>
      <c r="CQ24" s="10"/>
      <c r="CR24" s="10"/>
      <c r="CS24" s="10"/>
      <c r="CT24" s="10">
        <v>1800</v>
      </c>
      <c r="CU24" s="10">
        <v>2728</v>
      </c>
      <c r="CV24" s="10"/>
      <c r="CW24" s="10"/>
      <c r="CX24" s="10"/>
      <c r="CY24" s="10">
        <v>1964</v>
      </c>
      <c r="CZ24" s="10"/>
      <c r="DA24" s="10">
        <v>1173</v>
      </c>
      <c r="DB24" s="10"/>
      <c r="DC24" s="10"/>
      <c r="DD24" s="10"/>
      <c r="DE24" s="10"/>
      <c r="DF24" s="10"/>
      <c r="DG24" s="10"/>
      <c r="DH24" s="10">
        <f>1309+1309+500</f>
        <v>3118</v>
      </c>
      <c r="DI24" s="10"/>
      <c r="DJ24" s="10"/>
      <c r="DK24" s="10">
        <v>4817</v>
      </c>
      <c r="DL24" s="10"/>
      <c r="DM24" s="10">
        <v>2390</v>
      </c>
      <c r="DN24" s="10"/>
      <c r="DO24" s="10">
        <v>3417</v>
      </c>
      <c r="DP24" s="10"/>
      <c r="DQ24" s="10">
        <f>10200-41-CU24-CY24-DA24-DH24-DK24+(3641)</f>
        <v>0</v>
      </c>
      <c r="DR24" s="10"/>
      <c r="DS24" s="10"/>
      <c r="DT24" s="10"/>
      <c r="DU24" s="10"/>
      <c r="DV24" s="10"/>
      <c r="DW24" s="10">
        <f>10020-(3641)-DM24-DO24-(572)</f>
        <v>0</v>
      </c>
      <c r="DX24" s="10"/>
      <c r="DY24" s="10">
        <v>8040</v>
      </c>
      <c r="DZ24" s="46">
        <f t="shared" si="1"/>
        <v>8040</v>
      </c>
      <c r="EA24" s="64"/>
      <c r="EB24" s="64"/>
      <c r="EC24" s="71">
        <f t="shared" si="0"/>
        <v>0</v>
      </c>
      <c r="ED24" s="70"/>
    </row>
    <row r="25" spans="1:134" x14ac:dyDescent="0.3">
      <c r="A25" s="55">
        <v>23</v>
      </c>
      <c r="B25" s="13" t="s">
        <v>49</v>
      </c>
      <c r="C25" s="14" t="s">
        <v>50</v>
      </c>
      <c r="D25" s="10">
        <v>0</v>
      </c>
      <c r="E25" s="10"/>
      <c r="F25" s="10"/>
      <c r="G25" s="10">
        <v>0</v>
      </c>
      <c r="H25" s="10">
        <v>0</v>
      </c>
      <c r="I25" s="10"/>
      <c r="J25" s="10"/>
      <c r="K25" s="10"/>
      <c r="L25" s="10">
        <v>0</v>
      </c>
      <c r="M25" s="10"/>
      <c r="N25" s="10"/>
      <c r="O25" s="10"/>
      <c r="P25" s="10"/>
      <c r="Q25" s="10">
        <v>0</v>
      </c>
      <c r="R25" s="10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>
        <v>1590</v>
      </c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>
        <v>473</v>
      </c>
      <c r="BF25" s="10"/>
      <c r="BG25" s="10"/>
      <c r="BH25" s="10"/>
      <c r="BI25" s="10"/>
      <c r="BJ25" s="10"/>
      <c r="BK25" s="10"/>
      <c r="BL25" s="10"/>
      <c r="BM25" s="10"/>
      <c r="BN25" s="10">
        <v>2460</v>
      </c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>
        <v>1620</v>
      </c>
      <c r="CC25" s="10"/>
      <c r="CD25" s="10"/>
      <c r="CE25" s="10"/>
      <c r="CF25" s="10"/>
      <c r="CG25" s="10"/>
      <c r="CH25" s="10"/>
      <c r="CI25" s="10">
        <v>1559</v>
      </c>
      <c r="CJ25" s="10"/>
      <c r="CK25" s="10"/>
      <c r="CL25" s="10"/>
      <c r="CM25" s="10"/>
      <c r="CN25" s="10"/>
      <c r="CO25" s="10"/>
      <c r="CP25" s="10"/>
      <c r="CQ25" s="10"/>
      <c r="CR25" s="10"/>
      <c r="CS25" s="10">
        <v>1440</v>
      </c>
      <c r="CT25" s="10"/>
      <c r="CU25" s="10"/>
      <c r="CV25" s="10"/>
      <c r="CW25" s="10"/>
      <c r="CX25" s="10"/>
      <c r="CY25" s="10"/>
      <c r="CZ25" s="10"/>
      <c r="DA25" s="10"/>
      <c r="DB25" s="10"/>
      <c r="DC25" s="10">
        <v>1755</v>
      </c>
      <c r="DD25" s="10"/>
      <c r="DE25" s="10"/>
      <c r="DF25" s="10"/>
      <c r="DG25" s="10">
        <v>3040</v>
      </c>
      <c r="DH25" s="10"/>
      <c r="DI25" s="10"/>
      <c r="DJ25" s="10"/>
      <c r="DK25" s="10"/>
      <c r="DL25" s="10"/>
      <c r="DM25" s="10"/>
      <c r="DN25" s="10"/>
      <c r="DO25" s="10"/>
      <c r="DP25" s="10"/>
      <c r="DQ25" s="10">
        <f>3330-(DC25-331)-DG25+(1134)</f>
        <v>0</v>
      </c>
      <c r="DR25" s="10"/>
      <c r="DS25" s="10"/>
      <c r="DT25" s="10"/>
      <c r="DU25" s="10"/>
      <c r="DV25" s="10"/>
      <c r="DW25" s="10">
        <v>3330</v>
      </c>
      <c r="DX25" s="10"/>
      <c r="DY25" s="10">
        <v>3330</v>
      </c>
      <c r="DZ25" s="46">
        <f t="shared" si="1"/>
        <v>6660</v>
      </c>
      <c r="EA25" s="64">
        <v>46209</v>
      </c>
      <c r="EB25" s="64">
        <v>46210</v>
      </c>
      <c r="EC25" s="71">
        <f t="shared" si="0"/>
        <v>1</v>
      </c>
      <c r="ED25" s="70"/>
    </row>
    <row r="26" spans="1:134" x14ac:dyDescent="0.3">
      <c r="A26" s="55">
        <v>24</v>
      </c>
      <c r="B26" s="13" t="s">
        <v>51</v>
      </c>
      <c r="C26" s="14" t="s">
        <v>52</v>
      </c>
      <c r="D26" s="10">
        <v>0</v>
      </c>
      <c r="E26" s="10"/>
      <c r="F26" s="10"/>
      <c r="G26" s="10">
        <v>0</v>
      </c>
      <c r="H26" s="10">
        <v>0</v>
      </c>
      <c r="I26" s="10"/>
      <c r="J26" s="10"/>
      <c r="K26" s="10">
        <v>1213</v>
      </c>
      <c r="L26" s="10">
        <v>2775</v>
      </c>
      <c r="M26" s="10"/>
      <c r="N26" s="10"/>
      <c r="O26" s="10"/>
      <c r="P26" s="10"/>
      <c r="Q26" s="10">
        <v>0</v>
      </c>
      <c r="R26" s="10"/>
      <c r="S26" s="35"/>
      <c r="T26" s="34">
        <v>2160</v>
      </c>
      <c r="U26" s="34">
        <v>1285</v>
      </c>
      <c r="V26" s="34"/>
      <c r="W26" s="34"/>
      <c r="X26" s="34"/>
      <c r="Y26" s="34"/>
      <c r="Z26" s="34"/>
      <c r="AA26" s="34">
        <v>2639</v>
      </c>
      <c r="AB26" s="34"/>
      <c r="AC26" s="34"/>
      <c r="AD26" s="34"/>
      <c r="AE26" s="34"/>
      <c r="AF26" s="34">
        <v>3157</v>
      </c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>
        <v>1830</v>
      </c>
      <c r="BB26" s="34">
        <v>2773</v>
      </c>
      <c r="BC26" s="34"/>
      <c r="BD26" s="34"/>
      <c r="BE26" s="34"/>
      <c r="BF26" s="10"/>
      <c r="BG26" s="10"/>
      <c r="BH26" s="10"/>
      <c r="BI26" s="10">
        <v>1469</v>
      </c>
      <c r="BJ26" s="10">
        <v>3420</v>
      </c>
      <c r="BK26" s="10"/>
      <c r="BL26" s="10"/>
      <c r="BM26" s="10"/>
      <c r="BN26" s="10"/>
      <c r="BO26" s="10"/>
      <c r="BP26" s="10"/>
      <c r="BQ26" s="10"/>
      <c r="BR26" s="10">
        <v>1965</v>
      </c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>
        <v>2319</v>
      </c>
      <c r="CG26" s="10">
        <v>1853</v>
      </c>
      <c r="CH26" s="10">
        <v>1255</v>
      </c>
      <c r="CI26" s="10"/>
      <c r="CJ26" s="10"/>
      <c r="CK26" s="10">
        <f>1353</f>
        <v>1353</v>
      </c>
      <c r="CL26" s="10"/>
      <c r="CM26" s="10"/>
      <c r="CN26" s="10"/>
      <c r="CO26" s="10"/>
      <c r="CP26" s="10"/>
      <c r="CQ26" s="10">
        <v>1228</v>
      </c>
      <c r="CR26" s="10"/>
      <c r="CS26" s="10"/>
      <c r="CT26" s="10"/>
      <c r="CU26" s="10"/>
      <c r="CV26" s="10"/>
      <c r="CW26" s="10"/>
      <c r="CX26" s="10"/>
      <c r="CY26" s="10"/>
      <c r="CZ26" s="10"/>
      <c r="DA26" s="10">
        <v>2619</v>
      </c>
      <c r="DB26" s="10">
        <v>655</v>
      </c>
      <c r="DC26" s="10"/>
      <c r="DD26" s="10"/>
      <c r="DE26" s="10"/>
      <c r="DF26" s="10"/>
      <c r="DG26" s="10"/>
      <c r="DH26" s="10"/>
      <c r="DI26" s="10"/>
      <c r="DJ26" s="10">
        <v>3080</v>
      </c>
      <c r="DK26" s="10"/>
      <c r="DL26" s="10"/>
      <c r="DM26" s="10"/>
      <c r="DN26" s="10"/>
      <c r="DO26" s="10"/>
      <c r="DP26" s="10"/>
      <c r="DQ26" s="10">
        <f>3330-DJ26-(250)</f>
        <v>0</v>
      </c>
      <c r="DR26" s="10"/>
      <c r="DS26" s="10"/>
      <c r="DT26" s="10"/>
      <c r="DU26" s="10"/>
      <c r="DV26" s="10"/>
      <c r="DW26" s="10">
        <v>3330</v>
      </c>
      <c r="DX26" s="10"/>
      <c r="DY26" s="10">
        <v>3330</v>
      </c>
      <c r="DZ26" s="46">
        <f t="shared" si="1"/>
        <v>6660</v>
      </c>
      <c r="EA26" s="64">
        <v>46209</v>
      </c>
      <c r="EB26" s="64">
        <v>46203</v>
      </c>
      <c r="EC26" s="71">
        <f t="shared" si="0"/>
        <v>-6</v>
      </c>
      <c r="ED26" s="70"/>
    </row>
    <row r="27" spans="1:134" x14ac:dyDescent="0.3">
      <c r="A27" s="55">
        <v>25</v>
      </c>
      <c r="B27" s="50" t="s">
        <v>53</v>
      </c>
      <c r="C27" s="41" t="s">
        <v>54</v>
      </c>
      <c r="D27" s="10">
        <v>0</v>
      </c>
      <c r="E27" s="10"/>
      <c r="F27" s="10"/>
      <c r="G27" s="10">
        <v>0</v>
      </c>
      <c r="H27" s="10">
        <v>0</v>
      </c>
      <c r="I27" s="10"/>
      <c r="J27" s="10"/>
      <c r="K27" s="10"/>
      <c r="L27" s="10">
        <v>0</v>
      </c>
      <c r="M27" s="10"/>
      <c r="N27" s="10"/>
      <c r="O27" s="10"/>
      <c r="P27" s="10"/>
      <c r="Q27" s="10">
        <v>0</v>
      </c>
      <c r="R27" s="10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46">
        <f t="shared" si="1"/>
        <v>0</v>
      </c>
      <c r="EA27" s="64"/>
      <c r="EB27" s="64"/>
      <c r="EC27" s="71">
        <f t="shared" si="0"/>
        <v>0</v>
      </c>
      <c r="ED27" s="70"/>
    </row>
    <row r="28" spans="1:134" x14ac:dyDescent="0.3">
      <c r="A28" s="55">
        <v>26</v>
      </c>
      <c r="B28" s="50" t="s">
        <v>55</v>
      </c>
      <c r="C28" s="41" t="s">
        <v>56</v>
      </c>
      <c r="D28" s="10">
        <v>0</v>
      </c>
      <c r="E28" s="10"/>
      <c r="F28" s="10"/>
      <c r="G28" s="10">
        <v>0</v>
      </c>
      <c r="H28" s="10">
        <v>0</v>
      </c>
      <c r="I28" s="10"/>
      <c r="J28" s="10"/>
      <c r="K28" s="10"/>
      <c r="L28" s="10">
        <v>0</v>
      </c>
      <c r="M28" s="10"/>
      <c r="N28" s="10"/>
      <c r="O28" s="10"/>
      <c r="P28" s="10"/>
      <c r="Q28" s="10">
        <v>0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46">
        <f t="shared" si="1"/>
        <v>0</v>
      </c>
      <c r="EA28" s="64"/>
      <c r="EB28" s="64"/>
      <c r="EC28" s="71">
        <f t="shared" si="0"/>
        <v>0</v>
      </c>
      <c r="ED28" s="70"/>
    </row>
    <row r="29" spans="1:134" x14ac:dyDescent="0.3">
      <c r="A29" s="55">
        <v>27</v>
      </c>
      <c r="B29" s="50" t="s">
        <v>57</v>
      </c>
      <c r="C29" s="41" t="s">
        <v>58</v>
      </c>
      <c r="D29" s="10">
        <v>0</v>
      </c>
      <c r="E29" s="10"/>
      <c r="F29" s="10"/>
      <c r="G29" s="10">
        <v>0</v>
      </c>
      <c r="H29" s="10">
        <v>0</v>
      </c>
      <c r="I29" s="10"/>
      <c r="J29" s="10"/>
      <c r="K29" s="10"/>
      <c r="L29" s="10">
        <v>0</v>
      </c>
      <c r="M29" s="10"/>
      <c r="N29" s="10"/>
      <c r="O29" s="10"/>
      <c r="P29" s="10"/>
      <c r="Q29" s="10">
        <v>0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46">
        <f t="shared" si="1"/>
        <v>0</v>
      </c>
      <c r="EA29" s="64"/>
      <c r="EB29" s="64"/>
      <c r="EC29" s="71">
        <f t="shared" si="0"/>
        <v>0</v>
      </c>
      <c r="ED29" s="70"/>
    </row>
    <row r="30" spans="1:134" x14ac:dyDescent="0.3">
      <c r="A30" s="55">
        <v>28</v>
      </c>
      <c r="B30" s="50" t="s">
        <v>59</v>
      </c>
      <c r="C30" s="41" t="s">
        <v>60</v>
      </c>
      <c r="D30" s="10">
        <v>0</v>
      </c>
      <c r="E30" s="10"/>
      <c r="F30" s="10"/>
      <c r="G30" s="10">
        <v>0</v>
      </c>
      <c r="H30" s="10">
        <v>0</v>
      </c>
      <c r="I30" s="10"/>
      <c r="J30" s="10"/>
      <c r="K30" s="10"/>
      <c r="L30" s="10">
        <v>0</v>
      </c>
      <c r="M30" s="10"/>
      <c r="N30" s="10"/>
      <c r="O30" s="10"/>
      <c r="P30" s="10"/>
      <c r="Q30" s="10">
        <v>0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46">
        <f t="shared" si="1"/>
        <v>0</v>
      </c>
      <c r="EA30" s="64"/>
      <c r="EB30" s="64"/>
      <c r="EC30" s="71">
        <f t="shared" si="0"/>
        <v>0</v>
      </c>
      <c r="ED30" s="70"/>
    </row>
    <row r="31" spans="1:134" x14ac:dyDescent="0.3">
      <c r="A31" s="55">
        <v>29</v>
      </c>
      <c r="B31" s="8" t="s">
        <v>61</v>
      </c>
      <c r="C31" s="9" t="s">
        <v>62</v>
      </c>
      <c r="D31" s="10">
        <v>0</v>
      </c>
      <c r="E31" s="10"/>
      <c r="F31" s="10"/>
      <c r="G31" s="10">
        <v>0</v>
      </c>
      <c r="H31" s="10">
        <v>1739</v>
      </c>
      <c r="I31" s="10"/>
      <c r="J31" s="10"/>
      <c r="K31" s="10"/>
      <c r="L31" s="10">
        <v>0</v>
      </c>
      <c r="M31" s="10"/>
      <c r="N31" s="10"/>
      <c r="O31" s="10"/>
      <c r="P31" s="10"/>
      <c r="Q31" s="10">
        <v>0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>
        <v>2316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>
        <v>2700</v>
      </c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>
        <v>2230</v>
      </c>
      <c r="DK31" s="10"/>
      <c r="DL31" s="10"/>
      <c r="DM31" s="10"/>
      <c r="DN31" s="10"/>
      <c r="DO31" s="10"/>
      <c r="DP31" s="10">
        <f>2500-DJ31-(270)</f>
        <v>0</v>
      </c>
      <c r="DQ31" s="10"/>
      <c r="DR31" s="10"/>
      <c r="DS31" s="10"/>
      <c r="DT31" s="10"/>
      <c r="DU31" s="10"/>
      <c r="DV31" s="10"/>
      <c r="DW31" s="10"/>
      <c r="DX31" s="10"/>
      <c r="DY31" s="10"/>
      <c r="DZ31" s="46">
        <f t="shared" si="1"/>
        <v>0</v>
      </c>
      <c r="EA31" s="64"/>
      <c r="EB31" s="64"/>
      <c r="EC31" s="71">
        <f t="shared" si="0"/>
        <v>0</v>
      </c>
      <c r="ED31" s="70"/>
    </row>
    <row r="32" spans="1:134" x14ac:dyDescent="0.3">
      <c r="A32" s="55">
        <v>30</v>
      </c>
      <c r="B32" s="8" t="s">
        <v>63</v>
      </c>
      <c r="C32" s="9" t="s">
        <v>64</v>
      </c>
      <c r="D32" s="12">
        <v>0</v>
      </c>
      <c r="E32" s="33"/>
      <c r="F32" s="33"/>
      <c r="G32" s="10">
        <v>0</v>
      </c>
      <c r="H32" s="12">
        <v>0</v>
      </c>
      <c r="I32" s="12"/>
      <c r="J32" s="12"/>
      <c r="K32" s="12"/>
      <c r="L32" s="12">
        <v>0</v>
      </c>
      <c r="M32" s="12"/>
      <c r="N32" s="12"/>
      <c r="O32" s="12"/>
      <c r="P32" s="12"/>
      <c r="Q32" s="12">
        <v>0</v>
      </c>
      <c r="R32" s="12"/>
      <c r="S32" s="12"/>
      <c r="T32" s="12"/>
      <c r="U32" s="12"/>
      <c r="V32" s="36">
        <v>2825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8"/>
      <c r="BG32" s="38"/>
      <c r="BH32" s="38"/>
      <c r="BI32" s="38"/>
      <c r="BJ32" s="38"/>
      <c r="BK32" s="38"/>
      <c r="BL32" s="38">
        <v>1680</v>
      </c>
      <c r="BM32" s="38">
        <v>1100</v>
      </c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10">
        <v>2500</v>
      </c>
      <c r="DQ32" s="10"/>
      <c r="DR32" s="10"/>
      <c r="DS32" s="10"/>
      <c r="DT32" s="10"/>
      <c r="DU32" s="10"/>
      <c r="DV32" s="10"/>
      <c r="DW32" s="10"/>
      <c r="DX32" s="10"/>
      <c r="DY32" s="10"/>
      <c r="DZ32" s="46">
        <f t="shared" si="1"/>
        <v>2500</v>
      </c>
      <c r="EA32" s="64">
        <v>46160</v>
      </c>
      <c r="EB32" s="64">
        <v>46203</v>
      </c>
      <c r="EC32" s="71">
        <f t="shared" si="0"/>
        <v>43</v>
      </c>
      <c r="ED32" s="70" t="s">
        <v>187</v>
      </c>
    </row>
    <row r="33" spans="1:134" x14ac:dyDescent="0.3">
      <c r="A33" s="55">
        <v>31</v>
      </c>
      <c r="B33" s="8" t="s">
        <v>65</v>
      </c>
      <c r="C33" s="9" t="s">
        <v>66</v>
      </c>
      <c r="D33" s="12">
        <v>0</v>
      </c>
      <c r="E33" s="33"/>
      <c r="F33" s="33"/>
      <c r="G33" s="10">
        <v>0</v>
      </c>
      <c r="H33" s="11">
        <v>1706</v>
      </c>
      <c r="I33" s="11"/>
      <c r="J33" s="11"/>
      <c r="K33" s="11"/>
      <c r="L33" s="11">
        <v>0</v>
      </c>
      <c r="M33" s="11"/>
      <c r="N33" s="11"/>
      <c r="O33" s="11"/>
      <c r="P33" s="11"/>
      <c r="Q33" s="11">
        <v>0</v>
      </c>
      <c r="R33" s="11"/>
      <c r="S33" s="11"/>
      <c r="T33" s="11"/>
      <c r="U33" s="11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v>1920</v>
      </c>
      <c r="AY33" s="36">
        <v>808</v>
      </c>
      <c r="AZ33" s="36"/>
      <c r="BA33" s="36"/>
      <c r="BB33" s="36"/>
      <c r="BC33" s="36"/>
      <c r="BD33" s="36"/>
      <c r="BE33" s="36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>
        <v>2480</v>
      </c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10"/>
      <c r="DQ33" s="10">
        <v>2500</v>
      </c>
      <c r="DR33" s="10"/>
      <c r="DS33" s="10"/>
      <c r="DT33" s="10"/>
      <c r="DU33" s="10"/>
      <c r="DV33" s="10"/>
      <c r="DW33" s="10"/>
      <c r="DX33" s="10"/>
      <c r="DY33" s="10"/>
      <c r="DZ33" s="46">
        <f t="shared" si="1"/>
        <v>2500</v>
      </c>
      <c r="EA33" s="64">
        <v>46178</v>
      </c>
      <c r="EB33" s="64">
        <v>46218</v>
      </c>
      <c r="EC33" s="71">
        <f t="shared" si="0"/>
        <v>40</v>
      </c>
      <c r="ED33" s="70" t="s">
        <v>188</v>
      </c>
    </row>
    <row r="34" spans="1:134" x14ac:dyDescent="0.3">
      <c r="A34" s="55">
        <v>32</v>
      </c>
      <c r="B34" s="8" t="s">
        <v>67</v>
      </c>
      <c r="C34" s="9" t="s">
        <v>68</v>
      </c>
      <c r="D34" s="12"/>
      <c r="E34" s="33"/>
      <c r="F34" s="33"/>
      <c r="G34" s="10">
        <v>0</v>
      </c>
      <c r="H34" s="10">
        <v>0</v>
      </c>
      <c r="I34" s="10"/>
      <c r="J34" s="10"/>
      <c r="K34" s="10"/>
      <c r="L34" s="11">
        <v>0</v>
      </c>
      <c r="M34" s="37"/>
      <c r="N34" s="37"/>
      <c r="O34" s="37"/>
      <c r="P34" s="37"/>
      <c r="Q34" s="10">
        <v>0</v>
      </c>
      <c r="R34" s="37"/>
      <c r="S34" s="37"/>
      <c r="T34" s="37"/>
      <c r="U34" s="37"/>
      <c r="V34" s="38"/>
      <c r="W34" s="38"/>
      <c r="X34" s="38"/>
      <c r="Y34" s="38"/>
      <c r="Z34" s="38">
        <v>1648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>
        <v>1519</v>
      </c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>
        <v>1594</v>
      </c>
      <c r="BV34" s="38"/>
      <c r="BW34" s="38"/>
      <c r="BX34" s="38"/>
      <c r="BY34" s="38"/>
      <c r="BZ34" s="38"/>
      <c r="CA34" s="38"/>
      <c r="CB34" s="38"/>
      <c r="CC34" s="38">
        <v>1447</v>
      </c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>
        <v>1212</v>
      </c>
      <c r="DJ34" s="38"/>
      <c r="DK34" s="38"/>
      <c r="DL34" s="38"/>
      <c r="DM34" s="38"/>
      <c r="DN34" s="38"/>
      <c r="DO34" s="38"/>
      <c r="DP34" s="10">
        <f>1668-DI34</f>
        <v>456</v>
      </c>
      <c r="DQ34" s="10"/>
      <c r="DR34" s="10"/>
      <c r="DS34" s="10"/>
      <c r="DT34" s="10"/>
      <c r="DU34" s="10"/>
      <c r="DV34" s="10"/>
      <c r="DW34" s="10">
        <f>1668</f>
        <v>1668</v>
      </c>
      <c r="DX34" s="10"/>
      <c r="DY34" s="10"/>
      <c r="DZ34" s="46">
        <f t="shared" si="1"/>
        <v>2124</v>
      </c>
      <c r="EA34" s="64">
        <v>46160</v>
      </c>
      <c r="EB34" s="64">
        <v>46198</v>
      </c>
      <c r="EC34" s="71">
        <f t="shared" si="0"/>
        <v>38</v>
      </c>
      <c r="ED34" s="70" t="s">
        <v>189</v>
      </c>
    </row>
    <row r="35" spans="1:134" x14ac:dyDescent="0.3">
      <c r="A35" s="55">
        <v>33</v>
      </c>
      <c r="B35" s="8" t="s">
        <v>69</v>
      </c>
      <c r="C35" s="9" t="s">
        <v>70</v>
      </c>
      <c r="D35" s="10"/>
      <c r="E35" s="10"/>
      <c r="F35" s="10"/>
      <c r="G35" s="10">
        <v>0</v>
      </c>
      <c r="H35" s="10">
        <v>0</v>
      </c>
      <c r="I35" s="10"/>
      <c r="J35" s="10"/>
      <c r="K35" s="10"/>
      <c r="L35" s="15">
        <v>0</v>
      </c>
      <c r="M35" s="15"/>
      <c r="N35" s="15"/>
      <c r="O35" s="15"/>
      <c r="P35" s="15"/>
      <c r="Q35" s="10">
        <v>0</v>
      </c>
      <c r="R35" s="15"/>
      <c r="S35" s="15"/>
      <c r="T35" s="15"/>
      <c r="U35" s="15"/>
      <c r="V35" s="10"/>
      <c r="W35" s="10"/>
      <c r="X35" s="10"/>
      <c r="Y35" s="10"/>
      <c r="Z35" s="10">
        <v>1618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>
        <v>1533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>
        <v>1352</v>
      </c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>
        <v>1544</v>
      </c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>
        <v>1380</v>
      </c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>
        <v>1668</v>
      </c>
      <c r="DS35" s="10"/>
      <c r="DT35" s="10"/>
      <c r="DU35" s="10"/>
      <c r="DV35" s="10"/>
      <c r="DW35" s="10">
        <v>1668</v>
      </c>
      <c r="DX35" s="10"/>
      <c r="DY35" s="10"/>
      <c r="DZ35" s="46">
        <f t="shared" si="1"/>
        <v>3336</v>
      </c>
      <c r="EA35" s="64">
        <v>46189</v>
      </c>
      <c r="EB35" s="64">
        <v>46198</v>
      </c>
      <c r="EC35" s="71">
        <f t="shared" si="0"/>
        <v>9</v>
      </c>
      <c r="ED35" s="70" t="s">
        <v>186</v>
      </c>
    </row>
    <row r="36" spans="1:134" x14ac:dyDescent="0.3">
      <c r="A36" s="55">
        <v>34</v>
      </c>
      <c r="B36" s="8" t="s">
        <v>157</v>
      </c>
      <c r="C36" s="9" t="s">
        <v>156</v>
      </c>
      <c r="D36" s="10"/>
      <c r="E36" s="10"/>
      <c r="F36" s="10"/>
      <c r="G36" s="10">
        <v>0</v>
      </c>
      <c r="H36" s="10">
        <v>0</v>
      </c>
      <c r="I36" s="10"/>
      <c r="J36" s="10"/>
      <c r="K36" s="10"/>
      <c r="L36" s="15">
        <v>0</v>
      </c>
      <c r="M36" s="15"/>
      <c r="N36" s="15"/>
      <c r="O36" s="15"/>
      <c r="P36" s="15"/>
      <c r="Q36" s="10">
        <v>0</v>
      </c>
      <c r="R36" s="15"/>
      <c r="S36" s="15"/>
      <c r="T36" s="15"/>
      <c r="U36" s="15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>
        <v>1590</v>
      </c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>
        <v>1536</v>
      </c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>
        <v>2232</v>
      </c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46">
        <f t="shared" si="1"/>
        <v>0</v>
      </c>
      <c r="EA36" s="64"/>
      <c r="EB36" s="64"/>
      <c r="EC36" s="71">
        <f t="shared" si="0"/>
        <v>0</v>
      </c>
      <c r="ED36" s="70"/>
    </row>
    <row r="37" spans="1:134" x14ac:dyDescent="0.3">
      <c r="A37" s="55">
        <v>35</v>
      </c>
      <c r="B37" s="8" t="s">
        <v>71</v>
      </c>
      <c r="C37" s="9" t="s">
        <v>72</v>
      </c>
      <c r="D37" s="10"/>
      <c r="E37" s="10">
        <v>1920</v>
      </c>
      <c r="F37" s="10"/>
      <c r="G37" s="10">
        <v>0</v>
      </c>
      <c r="H37" s="10">
        <v>0</v>
      </c>
      <c r="I37" s="10"/>
      <c r="J37" s="10"/>
      <c r="K37" s="10"/>
      <c r="L37" s="10">
        <v>0</v>
      </c>
      <c r="M37" s="10"/>
      <c r="N37" s="10"/>
      <c r="O37" s="10"/>
      <c r="P37" s="10">
        <v>1536</v>
      </c>
      <c r="Q37" s="10">
        <v>0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>
        <v>1176</v>
      </c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>
        <v>1800</v>
      </c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>
        <v>2496</v>
      </c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>
        <v>2580</v>
      </c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46">
        <f t="shared" si="1"/>
        <v>0</v>
      </c>
      <c r="EA37" s="64"/>
      <c r="EB37" s="64"/>
      <c r="EC37" s="71">
        <f t="shared" si="0"/>
        <v>0</v>
      </c>
      <c r="ED37" s="70"/>
    </row>
    <row r="38" spans="1:134" x14ac:dyDescent="0.3">
      <c r="A38" s="55">
        <v>36</v>
      </c>
      <c r="B38" s="8" t="s">
        <v>73</v>
      </c>
      <c r="C38" s="9" t="s">
        <v>74</v>
      </c>
      <c r="D38" s="10"/>
      <c r="E38" s="10"/>
      <c r="F38" s="10"/>
      <c r="G38" s="10">
        <v>0</v>
      </c>
      <c r="H38" s="10">
        <v>0</v>
      </c>
      <c r="I38" s="10"/>
      <c r="J38" s="10"/>
      <c r="K38" s="10"/>
      <c r="L38" s="10">
        <v>0</v>
      </c>
      <c r="M38" s="10"/>
      <c r="N38" s="10"/>
      <c r="O38" s="10"/>
      <c r="P38" s="10"/>
      <c r="Q38" s="10">
        <v>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744</v>
      </c>
      <c r="AG38" s="10"/>
      <c r="AH38" s="10"/>
      <c r="AI38" s="10"/>
      <c r="AJ38" s="10"/>
      <c r="AK38" s="10"/>
      <c r="AL38" s="10"/>
      <c r="AM38" s="10"/>
      <c r="AN38" s="10">
        <v>1244</v>
      </c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>
        <v>2628</v>
      </c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>
        <v>2664</v>
      </c>
      <c r="DS38" s="10"/>
      <c r="DT38" s="10"/>
      <c r="DU38" s="10"/>
      <c r="DV38" s="10"/>
      <c r="DW38" s="10"/>
      <c r="DX38" s="10"/>
      <c r="DY38" s="10"/>
      <c r="DZ38" s="46">
        <f t="shared" si="1"/>
        <v>2664</v>
      </c>
      <c r="EA38" s="64">
        <v>46175</v>
      </c>
      <c r="EB38" s="64">
        <v>46199</v>
      </c>
      <c r="EC38" s="71">
        <f t="shared" si="0"/>
        <v>24</v>
      </c>
      <c r="ED38" s="70"/>
    </row>
    <row r="39" spans="1:134" x14ac:dyDescent="0.3">
      <c r="A39" s="55">
        <v>37</v>
      </c>
      <c r="B39" s="8" t="s">
        <v>75</v>
      </c>
      <c r="C39" s="9" t="s">
        <v>76</v>
      </c>
      <c r="D39" s="10"/>
      <c r="E39" s="10"/>
      <c r="F39" s="10"/>
      <c r="G39" s="10">
        <v>0</v>
      </c>
      <c r="H39" s="10">
        <v>0</v>
      </c>
      <c r="I39" s="10"/>
      <c r="J39" s="10"/>
      <c r="K39" s="10"/>
      <c r="L39" s="10">
        <v>0</v>
      </c>
      <c r="M39" s="10"/>
      <c r="N39" s="10"/>
      <c r="O39" s="10"/>
      <c r="P39" s="10"/>
      <c r="Q39" s="10">
        <v>0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>
        <v>1932</v>
      </c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>
        <v>2712</v>
      </c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46">
        <f t="shared" si="1"/>
        <v>0</v>
      </c>
      <c r="EA39" s="64"/>
      <c r="EB39" s="64"/>
      <c r="EC39" s="71">
        <f t="shared" si="0"/>
        <v>0</v>
      </c>
      <c r="ED39" s="70"/>
    </row>
    <row r="40" spans="1:134" x14ac:dyDescent="0.3">
      <c r="A40" s="55">
        <v>38</v>
      </c>
      <c r="B40" s="8" t="s">
        <v>77</v>
      </c>
      <c r="C40" s="9" t="s">
        <v>78</v>
      </c>
      <c r="D40" s="10"/>
      <c r="E40" s="10"/>
      <c r="F40" s="10"/>
      <c r="G40" s="10">
        <v>1286</v>
      </c>
      <c r="H40" s="10">
        <v>1200</v>
      </c>
      <c r="I40" s="10"/>
      <c r="J40" s="10"/>
      <c r="K40" s="10"/>
      <c r="L40" s="10">
        <v>0</v>
      </c>
      <c r="M40" s="10"/>
      <c r="N40" s="10"/>
      <c r="O40" s="10"/>
      <c r="P40" s="10"/>
      <c r="Q40" s="10">
        <v>0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1178</v>
      </c>
      <c r="AH40" s="10"/>
      <c r="AI40" s="10"/>
      <c r="AJ40" s="10"/>
      <c r="AK40" s="10"/>
      <c r="AL40" s="10"/>
      <c r="AM40" s="10"/>
      <c r="AN40" s="10"/>
      <c r="AO40" s="10">
        <v>451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>
        <v>720</v>
      </c>
      <c r="BB40" s="10">
        <v>880</v>
      </c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>
        <v>550</v>
      </c>
      <c r="BU40" s="10"/>
      <c r="BV40" s="10"/>
      <c r="BW40" s="10"/>
      <c r="BX40" s="10"/>
      <c r="BY40" s="10"/>
      <c r="BZ40" s="10">
        <v>260</v>
      </c>
      <c r="CA40" s="10">
        <v>720</v>
      </c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>
        <v>1854</v>
      </c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>
        <v>1376</v>
      </c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>
        <f>1900-CZ40-524</f>
        <v>0</v>
      </c>
      <c r="DQ40" s="10"/>
      <c r="DR40" s="10"/>
      <c r="DS40" s="10"/>
      <c r="DT40" s="10"/>
      <c r="DU40" s="10"/>
      <c r="DV40" s="10">
        <v>1900</v>
      </c>
      <c r="DW40" s="10"/>
      <c r="DX40" s="10"/>
      <c r="DY40" s="10"/>
      <c r="DZ40" s="46">
        <f t="shared" si="1"/>
        <v>1900</v>
      </c>
      <c r="EA40" s="64">
        <v>46217</v>
      </c>
      <c r="EB40" s="64">
        <v>46213</v>
      </c>
      <c r="EC40" s="71">
        <f t="shared" si="0"/>
        <v>-4</v>
      </c>
      <c r="ED40" s="70"/>
    </row>
    <row r="41" spans="1:134" x14ac:dyDescent="0.3">
      <c r="A41" s="55">
        <v>39</v>
      </c>
      <c r="B41" s="8" t="s">
        <v>79</v>
      </c>
      <c r="C41" s="9" t="s">
        <v>80</v>
      </c>
      <c r="D41" s="10"/>
      <c r="E41" s="10"/>
      <c r="F41" s="10">
        <v>985</v>
      </c>
      <c r="G41" s="10">
        <v>0</v>
      </c>
      <c r="H41" s="10">
        <v>1160</v>
      </c>
      <c r="I41" s="10"/>
      <c r="J41" s="10"/>
      <c r="K41" s="10"/>
      <c r="L41" s="10">
        <v>0</v>
      </c>
      <c r="M41" s="10"/>
      <c r="N41" s="10"/>
      <c r="O41" s="10"/>
      <c r="P41" s="10"/>
      <c r="Q41" s="10">
        <v>0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>
        <v>1800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>
        <v>550</v>
      </c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>
        <v>1500</v>
      </c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>
        <v>1900</v>
      </c>
      <c r="DX41" s="10"/>
      <c r="DY41" s="10"/>
      <c r="DZ41" s="46">
        <f t="shared" si="1"/>
        <v>1900</v>
      </c>
      <c r="EA41" s="64">
        <v>46223</v>
      </c>
      <c r="EB41" s="64">
        <v>46213</v>
      </c>
      <c r="EC41" s="71">
        <f t="shared" si="0"/>
        <v>-10</v>
      </c>
      <c r="ED41" s="70"/>
    </row>
    <row r="42" spans="1:134" x14ac:dyDescent="0.3">
      <c r="A42" s="55">
        <v>40</v>
      </c>
      <c r="B42" s="8" t="s">
        <v>81</v>
      </c>
      <c r="C42" s="9" t="s">
        <v>82</v>
      </c>
      <c r="D42" s="10"/>
      <c r="E42" s="10">
        <v>1209</v>
      </c>
      <c r="F42" s="10"/>
      <c r="G42" s="10">
        <v>0</v>
      </c>
      <c r="H42" s="10">
        <v>1200</v>
      </c>
      <c r="I42" s="10"/>
      <c r="J42" s="10"/>
      <c r="K42" s="10"/>
      <c r="L42" s="10">
        <v>0</v>
      </c>
      <c r="M42" s="10"/>
      <c r="N42" s="10"/>
      <c r="O42" s="10"/>
      <c r="P42" s="10"/>
      <c r="Q42" s="10">
        <v>0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>
        <v>1110</v>
      </c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>
        <v>1660</v>
      </c>
      <c r="BE42" s="10"/>
      <c r="BF42" s="10"/>
      <c r="BG42" s="10"/>
      <c r="BH42" s="10">
        <v>987</v>
      </c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>
        <v>1877</v>
      </c>
      <c r="CB42" s="10"/>
      <c r="CC42" s="10"/>
      <c r="CD42" s="10"/>
      <c r="CE42" s="10">
        <v>1251</v>
      </c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>
        <v>1440</v>
      </c>
      <c r="CX42" s="10">
        <v>60</v>
      </c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>
        <v>196</v>
      </c>
      <c r="DM42" s="10"/>
      <c r="DN42" s="10"/>
      <c r="DO42" s="10"/>
      <c r="DP42" s="10"/>
      <c r="DQ42" s="10"/>
      <c r="DR42" s="10"/>
      <c r="DS42" s="10"/>
      <c r="DT42" s="10">
        <f>1900-DL42</f>
        <v>1704</v>
      </c>
      <c r="DU42" s="10"/>
      <c r="DV42" s="10"/>
      <c r="DW42" s="10"/>
      <c r="DX42" s="10"/>
      <c r="DY42" s="10"/>
      <c r="DZ42" s="46">
        <f t="shared" si="1"/>
        <v>1704</v>
      </c>
      <c r="EA42" s="64">
        <v>46192</v>
      </c>
      <c r="EB42" s="64">
        <v>46213</v>
      </c>
      <c r="EC42" s="71">
        <f t="shared" si="0"/>
        <v>21</v>
      </c>
      <c r="ED42" s="70"/>
    </row>
    <row r="43" spans="1:134" x14ac:dyDescent="0.3">
      <c r="A43" s="55">
        <v>41</v>
      </c>
      <c r="B43" s="8" t="s">
        <v>83</v>
      </c>
      <c r="C43" s="9" t="s">
        <v>84</v>
      </c>
      <c r="D43" s="10"/>
      <c r="E43" s="10"/>
      <c r="F43" s="10"/>
      <c r="G43" s="10">
        <v>0</v>
      </c>
      <c r="H43" s="10">
        <v>0</v>
      </c>
      <c r="I43" s="10"/>
      <c r="J43" s="10"/>
      <c r="K43" s="10"/>
      <c r="L43" s="10">
        <v>0</v>
      </c>
      <c r="M43" s="10"/>
      <c r="N43" s="10"/>
      <c r="O43" s="10"/>
      <c r="P43" s="10"/>
      <c r="Q43" s="10">
        <v>0</v>
      </c>
      <c r="R43" s="10"/>
      <c r="S43" s="10"/>
      <c r="T43" s="10"/>
      <c r="U43" s="10"/>
      <c r="V43" s="10">
        <f>573+57</f>
        <v>630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>
        <v>440</v>
      </c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>
        <v>396</v>
      </c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>
        <v>380</v>
      </c>
      <c r="BR43" s="10">
        <v>96</v>
      </c>
      <c r="BS43" s="10"/>
      <c r="BT43" s="10"/>
      <c r="BU43" s="10"/>
      <c r="BV43" s="10"/>
      <c r="BW43" s="10"/>
      <c r="BX43" s="10">
        <v>970</v>
      </c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>
        <v>1196</v>
      </c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>
        <f>720-(CP43-480)-4</f>
        <v>0</v>
      </c>
      <c r="DQ43" s="10"/>
      <c r="DR43" s="10"/>
      <c r="DS43" s="10"/>
      <c r="DT43" s="10"/>
      <c r="DU43" s="10"/>
      <c r="DV43" s="10"/>
      <c r="DW43" s="10">
        <v>1002</v>
      </c>
      <c r="DX43" s="10"/>
      <c r="DY43" s="10"/>
      <c r="DZ43" s="46">
        <f t="shared" si="1"/>
        <v>1002</v>
      </c>
      <c r="EA43" s="64">
        <v>46223</v>
      </c>
      <c r="EB43" s="64">
        <v>46211</v>
      </c>
      <c r="EC43" s="71">
        <f t="shared" si="0"/>
        <v>-12</v>
      </c>
      <c r="ED43" s="70"/>
    </row>
    <row r="44" spans="1:134" x14ac:dyDescent="0.3">
      <c r="A44" s="55">
        <v>42</v>
      </c>
      <c r="B44" s="8" t="s">
        <v>85</v>
      </c>
      <c r="C44" s="9" t="s">
        <v>86</v>
      </c>
      <c r="D44" s="10"/>
      <c r="E44" s="10"/>
      <c r="F44" s="10"/>
      <c r="G44" s="10">
        <v>0</v>
      </c>
      <c r="H44" s="10">
        <v>0</v>
      </c>
      <c r="I44" s="10"/>
      <c r="J44" s="10"/>
      <c r="K44" s="10"/>
      <c r="L44" s="10">
        <v>0</v>
      </c>
      <c r="M44" s="10"/>
      <c r="N44" s="10"/>
      <c r="O44" s="10"/>
      <c r="P44" s="10"/>
      <c r="Q44" s="10">
        <v>0</v>
      </c>
      <c r="R44" s="10"/>
      <c r="S44" s="10"/>
      <c r="T44" s="10"/>
      <c r="U44" s="10"/>
      <c r="V44" s="10"/>
      <c r="W44" s="10">
        <v>894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>
        <v>550</v>
      </c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>
        <v>396</v>
      </c>
      <c r="BS44" s="10"/>
      <c r="BT44" s="10"/>
      <c r="BU44" s="10"/>
      <c r="BV44" s="10"/>
      <c r="BW44" s="10"/>
      <c r="BX44" s="10">
        <v>635</v>
      </c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>
        <f>480</f>
        <v>480</v>
      </c>
      <c r="CL44" s="10"/>
      <c r="CM44" s="10"/>
      <c r="CN44" s="10"/>
      <c r="CO44" s="10"/>
      <c r="CP44" s="10">
        <v>910</v>
      </c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>
        <v>676</v>
      </c>
      <c r="DM44" s="10"/>
      <c r="DN44" s="10"/>
      <c r="DO44" s="10"/>
      <c r="DP44" s="10">
        <f>720-CP44+190</f>
        <v>0</v>
      </c>
      <c r="DQ44" s="10"/>
      <c r="DR44" s="10"/>
      <c r="DS44" s="10"/>
      <c r="DT44" s="10"/>
      <c r="DU44" s="10">
        <f>540-540</f>
        <v>0</v>
      </c>
      <c r="DV44" s="10"/>
      <c r="DW44" s="10">
        <f>1002-DL44</f>
        <v>326</v>
      </c>
      <c r="DX44" s="10"/>
      <c r="DY44" s="10"/>
      <c r="DZ44" s="46">
        <f t="shared" si="1"/>
        <v>326</v>
      </c>
      <c r="EA44" s="64">
        <v>46223</v>
      </c>
      <c r="EB44" s="64">
        <v>46211</v>
      </c>
      <c r="EC44" s="71">
        <f t="shared" si="0"/>
        <v>-12</v>
      </c>
      <c r="ED44" s="70"/>
    </row>
    <row r="45" spans="1:134" x14ac:dyDescent="0.3">
      <c r="A45" s="55">
        <v>43</v>
      </c>
      <c r="B45" s="8" t="s">
        <v>87</v>
      </c>
      <c r="C45" s="9" t="s">
        <v>88</v>
      </c>
      <c r="D45" s="10"/>
      <c r="E45" s="10"/>
      <c r="F45" s="10"/>
      <c r="G45" s="10">
        <v>0</v>
      </c>
      <c r="H45" s="10">
        <v>0</v>
      </c>
      <c r="I45" s="10"/>
      <c r="J45" s="10"/>
      <c r="K45" s="10"/>
      <c r="L45" s="10">
        <v>0</v>
      </c>
      <c r="M45" s="10"/>
      <c r="N45" s="10"/>
      <c r="O45" s="10"/>
      <c r="P45" s="10"/>
      <c r="Q45" s="10">
        <v>0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>
        <v>440</v>
      </c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>
        <v>348</v>
      </c>
      <c r="BR45" s="10">
        <v>96</v>
      </c>
      <c r="BS45" s="10"/>
      <c r="BT45" s="10"/>
      <c r="BU45" s="10"/>
      <c r="BV45" s="10"/>
      <c r="BW45" s="10"/>
      <c r="BX45" s="10">
        <v>900</v>
      </c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>
        <v>826</v>
      </c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>
        <f>480-CP45+346</f>
        <v>0</v>
      </c>
      <c r="DQ45" s="10"/>
      <c r="DR45" s="10"/>
      <c r="DS45" s="10"/>
      <c r="DT45" s="10"/>
      <c r="DU45" s="10"/>
      <c r="DV45" s="10"/>
      <c r="DW45" s="10">
        <v>1002</v>
      </c>
      <c r="DX45" s="10"/>
      <c r="DY45" s="10"/>
      <c r="DZ45" s="46">
        <f t="shared" si="1"/>
        <v>1002</v>
      </c>
      <c r="EA45" s="64">
        <v>46223</v>
      </c>
      <c r="EB45" s="64">
        <v>46211</v>
      </c>
      <c r="EC45" s="71">
        <f t="shared" si="0"/>
        <v>-12</v>
      </c>
      <c r="ED45" s="70"/>
    </row>
    <row r="46" spans="1:134" x14ac:dyDescent="0.3">
      <c r="A46" s="55">
        <v>44</v>
      </c>
      <c r="B46" s="8" t="s">
        <v>89</v>
      </c>
      <c r="C46" s="9" t="s">
        <v>90</v>
      </c>
      <c r="D46" s="10"/>
      <c r="E46" s="10"/>
      <c r="F46" s="10"/>
      <c r="G46" s="10">
        <v>0</v>
      </c>
      <c r="H46" s="10">
        <v>0</v>
      </c>
      <c r="I46" s="10"/>
      <c r="J46" s="10"/>
      <c r="K46" s="10"/>
      <c r="L46" s="10">
        <v>0</v>
      </c>
      <c r="M46" s="10"/>
      <c r="N46" s="10"/>
      <c r="O46" s="10"/>
      <c r="P46" s="10"/>
      <c r="Q46" s="10">
        <v>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>
        <v>480</v>
      </c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>
        <v>380</v>
      </c>
      <c r="BR46" s="10">
        <v>47</v>
      </c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>
        <v>480</v>
      </c>
      <c r="CL46" s="10"/>
      <c r="CM46" s="10"/>
      <c r="CN46" s="10"/>
      <c r="CO46" s="10"/>
      <c r="CP46" s="10">
        <v>480</v>
      </c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>
        <v>600</v>
      </c>
      <c r="DM46" s="10"/>
      <c r="DN46" s="10"/>
      <c r="DO46" s="10"/>
      <c r="DP46" s="10">
        <f>480-CP46</f>
        <v>0</v>
      </c>
      <c r="DQ46" s="10"/>
      <c r="DR46" s="10"/>
      <c r="DS46" s="10"/>
      <c r="DT46" s="10"/>
      <c r="DU46" s="10"/>
      <c r="DV46" s="10"/>
      <c r="DW46" s="10">
        <f>1002-DL46</f>
        <v>402</v>
      </c>
      <c r="DX46" s="10"/>
      <c r="DY46" s="10"/>
      <c r="DZ46" s="46">
        <f t="shared" si="1"/>
        <v>402</v>
      </c>
      <c r="EA46" s="64">
        <v>46223</v>
      </c>
      <c r="EB46" s="64">
        <v>46211</v>
      </c>
      <c r="EC46" s="71">
        <f t="shared" si="0"/>
        <v>-12</v>
      </c>
      <c r="ED46" s="70"/>
    </row>
    <row r="47" spans="1:134" x14ac:dyDescent="0.3">
      <c r="A47" s="55">
        <v>45</v>
      </c>
      <c r="B47" s="8" t="s">
        <v>91</v>
      </c>
      <c r="C47" s="9" t="s">
        <v>92</v>
      </c>
      <c r="D47" s="10"/>
      <c r="E47" s="10"/>
      <c r="F47" s="10"/>
      <c r="G47" s="10">
        <v>0</v>
      </c>
      <c r="H47" s="10">
        <v>0</v>
      </c>
      <c r="I47" s="10"/>
      <c r="J47" s="10"/>
      <c r="K47" s="10"/>
      <c r="L47" s="10">
        <v>0</v>
      </c>
      <c r="M47" s="10"/>
      <c r="N47" s="10"/>
      <c r="O47" s="10"/>
      <c r="P47" s="10"/>
      <c r="Q47" s="10">
        <v>0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>
        <v>2000</v>
      </c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46">
        <f t="shared" si="1"/>
        <v>0</v>
      </c>
      <c r="EA47" s="64"/>
      <c r="EB47" s="64"/>
      <c r="EC47" s="71">
        <f t="shared" si="0"/>
        <v>0</v>
      </c>
      <c r="ED47" s="70"/>
    </row>
    <row r="48" spans="1:134" x14ac:dyDescent="0.3">
      <c r="A48" s="55">
        <v>46</v>
      </c>
      <c r="B48" s="8" t="s">
        <v>93</v>
      </c>
      <c r="C48" s="9" t="s">
        <v>94</v>
      </c>
      <c r="D48" s="10"/>
      <c r="E48" s="10"/>
      <c r="F48" s="10"/>
      <c r="G48" s="10">
        <v>0</v>
      </c>
      <c r="H48" s="10">
        <v>0</v>
      </c>
      <c r="I48" s="10"/>
      <c r="J48" s="10"/>
      <c r="K48" s="10"/>
      <c r="L48" s="10">
        <v>0</v>
      </c>
      <c r="M48" s="10"/>
      <c r="N48" s="10"/>
      <c r="O48" s="10"/>
      <c r="P48" s="10"/>
      <c r="Q48" s="10">
        <v>0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>
        <v>2000</v>
      </c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46">
        <f t="shared" si="1"/>
        <v>0</v>
      </c>
      <c r="EA48" s="64"/>
      <c r="EB48" s="64"/>
      <c r="EC48" s="71">
        <f t="shared" si="0"/>
        <v>0</v>
      </c>
      <c r="ED48" s="70"/>
    </row>
    <row r="49" spans="1:134" x14ac:dyDescent="0.3">
      <c r="A49" s="55">
        <v>47</v>
      </c>
      <c r="B49" s="8" t="s">
        <v>95</v>
      </c>
      <c r="C49" s="9" t="s">
        <v>96</v>
      </c>
      <c r="D49" s="10"/>
      <c r="E49" s="10"/>
      <c r="F49" s="10"/>
      <c r="G49" s="10">
        <v>0</v>
      </c>
      <c r="H49" s="10">
        <v>0</v>
      </c>
      <c r="I49" s="10"/>
      <c r="J49" s="10"/>
      <c r="K49" s="10"/>
      <c r="L49" s="10">
        <v>0</v>
      </c>
      <c r="M49" s="10"/>
      <c r="N49" s="10"/>
      <c r="O49" s="10"/>
      <c r="P49" s="10"/>
      <c r="Q49" s="10">
        <v>0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>
        <v>2000</v>
      </c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46">
        <f t="shared" si="1"/>
        <v>0</v>
      </c>
      <c r="EA49" s="64"/>
      <c r="EB49" s="64"/>
      <c r="EC49" s="71">
        <f t="shared" si="0"/>
        <v>0</v>
      </c>
      <c r="ED49" s="70"/>
    </row>
    <row r="50" spans="1:134" x14ac:dyDescent="0.3">
      <c r="A50" s="55">
        <v>48</v>
      </c>
      <c r="B50" s="8" t="s">
        <v>97</v>
      </c>
      <c r="C50" s="9" t="s">
        <v>98</v>
      </c>
      <c r="D50" s="10"/>
      <c r="E50" s="10"/>
      <c r="F50" s="10"/>
      <c r="G50" s="10">
        <v>0</v>
      </c>
      <c r="H50" s="10">
        <v>0</v>
      </c>
      <c r="I50" s="10"/>
      <c r="J50" s="10"/>
      <c r="K50" s="10"/>
      <c r="L50" s="10">
        <v>0</v>
      </c>
      <c r="M50" s="10"/>
      <c r="N50" s="10"/>
      <c r="O50" s="10"/>
      <c r="P50" s="10"/>
      <c r="Q50" s="10">
        <v>0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>
        <v>1400</v>
      </c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46">
        <f t="shared" si="1"/>
        <v>0</v>
      </c>
      <c r="EA50" s="64"/>
      <c r="EB50" s="64"/>
      <c r="EC50" s="71">
        <f t="shared" si="0"/>
        <v>0</v>
      </c>
      <c r="ED50" s="70"/>
    </row>
    <row r="51" spans="1:134" x14ac:dyDescent="0.3">
      <c r="A51" s="55">
        <v>49</v>
      </c>
      <c r="B51" s="8" t="s">
        <v>164</v>
      </c>
      <c r="C51" s="9" t="s">
        <v>165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>
        <v>576</v>
      </c>
      <c r="DT51" s="10"/>
      <c r="DU51" s="10"/>
      <c r="DV51" s="10"/>
      <c r="DW51" s="10"/>
      <c r="DX51" s="10"/>
      <c r="DY51" s="10"/>
      <c r="DZ51" s="46">
        <f t="shared" si="1"/>
        <v>576</v>
      </c>
      <c r="EA51" s="64">
        <v>46213</v>
      </c>
      <c r="EB51" s="64">
        <v>46209</v>
      </c>
      <c r="EC51" s="71">
        <f t="shared" si="0"/>
        <v>-4</v>
      </c>
      <c r="ED51" s="70" t="s">
        <v>190</v>
      </c>
    </row>
    <row r="52" spans="1:134" x14ac:dyDescent="0.3">
      <c r="A52" s="55">
        <v>50</v>
      </c>
      <c r="B52" s="8" t="s">
        <v>166</v>
      </c>
      <c r="C52" s="9" t="s">
        <v>167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>
        <v>576</v>
      </c>
      <c r="DT52" s="10"/>
      <c r="DU52" s="10"/>
      <c r="DV52" s="10"/>
      <c r="DW52" s="10"/>
      <c r="DX52" s="10"/>
      <c r="DY52" s="10"/>
      <c r="DZ52" s="46">
        <f t="shared" si="1"/>
        <v>576</v>
      </c>
      <c r="EA52" s="64">
        <v>46213</v>
      </c>
      <c r="EB52" s="64">
        <v>46209</v>
      </c>
      <c r="EC52" s="71">
        <f t="shared" si="0"/>
        <v>-4</v>
      </c>
      <c r="ED52" s="70" t="s">
        <v>190</v>
      </c>
    </row>
    <row r="53" spans="1:134" x14ac:dyDescent="0.3">
      <c r="A53" s="55">
        <v>51</v>
      </c>
      <c r="B53" s="8" t="s">
        <v>168</v>
      </c>
      <c r="C53" s="9" t="s">
        <v>169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>
        <v>576</v>
      </c>
      <c r="DT53" s="10"/>
      <c r="DU53" s="10"/>
      <c r="DV53" s="10"/>
      <c r="DW53" s="10"/>
      <c r="DX53" s="10"/>
      <c r="DY53" s="10"/>
      <c r="DZ53" s="46">
        <f t="shared" si="1"/>
        <v>576</v>
      </c>
      <c r="EA53" s="64">
        <v>46213</v>
      </c>
      <c r="EB53" s="64">
        <v>46209</v>
      </c>
      <c r="EC53" s="71">
        <f t="shared" si="0"/>
        <v>-4</v>
      </c>
      <c r="ED53" s="70" t="s">
        <v>190</v>
      </c>
    </row>
    <row r="54" spans="1:134" x14ac:dyDescent="0.3">
      <c r="A54" s="55">
        <v>52</v>
      </c>
      <c r="B54" s="39" t="s">
        <v>99</v>
      </c>
      <c r="C54" s="40" t="s">
        <v>100</v>
      </c>
      <c r="D54" s="10">
        <v>0</v>
      </c>
      <c r="E54" s="10"/>
      <c r="F54" s="10"/>
      <c r="G54" s="10">
        <v>0</v>
      </c>
      <c r="H54" s="10">
        <v>0</v>
      </c>
      <c r="I54" s="10"/>
      <c r="J54" s="10"/>
      <c r="K54" s="10"/>
      <c r="L54" s="10">
        <v>0</v>
      </c>
      <c r="M54" s="10"/>
      <c r="N54" s="10"/>
      <c r="O54" s="10"/>
      <c r="P54" s="10"/>
      <c r="Q54" s="10">
        <v>0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46">
        <f t="shared" si="1"/>
        <v>0</v>
      </c>
      <c r="EA54" s="64"/>
      <c r="EB54" s="64"/>
      <c r="EC54" s="71">
        <f t="shared" si="0"/>
        <v>0</v>
      </c>
      <c r="ED54" s="70"/>
    </row>
    <row r="55" spans="1:134" x14ac:dyDescent="0.3">
      <c r="A55" s="55">
        <v>53</v>
      </c>
      <c r="B55" s="39" t="s">
        <v>101</v>
      </c>
      <c r="C55" s="40" t="s">
        <v>102</v>
      </c>
      <c r="D55" s="10">
        <v>0</v>
      </c>
      <c r="E55" s="10"/>
      <c r="F55" s="10"/>
      <c r="G55" s="10">
        <v>0</v>
      </c>
      <c r="H55" s="10">
        <v>0</v>
      </c>
      <c r="I55" s="10"/>
      <c r="J55" s="10"/>
      <c r="K55" s="10"/>
      <c r="L55" s="10">
        <v>0</v>
      </c>
      <c r="M55" s="10"/>
      <c r="N55" s="10"/>
      <c r="O55" s="10"/>
      <c r="P55" s="10"/>
      <c r="Q55" s="10">
        <v>0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46">
        <f t="shared" si="1"/>
        <v>0</v>
      </c>
      <c r="EA55" s="64"/>
      <c r="EB55" s="64"/>
      <c r="EC55" s="71">
        <f t="shared" si="0"/>
        <v>0</v>
      </c>
      <c r="ED55" s="70"/>
    </row>
    <row r="56" spans="1:134" x14ac:dyDescent="0.3">
      <c r="A56" s="55">
        <v>54</v>
      </c>
      <c r="B56" s="39" t="s">
        <v>103</v>
      </c>
      <c r="C56" s="40" t="s">
        <v>104</v>
      </c>
      <c r="D56" s="10">
        <v>0</v>
      </c>
      <c r="E56" s="10"/>
      <c r="F56" s="10"/>
      <c r="G56" s="10">
        <v>0</v>
      </c>
      <c r="H56" s="10">
        <v>0</v>
      </c>
      <c r="I56" s="10"/>
      <c r="J56" s="10"/>
      <c r="K56" s="10"/>
      <c r="L56" s="10">
        <v>0</v>
      </c>
      <c r="M56" s="10"/>
      <c r="N56" s="10"/>
      <c r="O56" s="10"/>
      <c r="P56" s="10"/>
      <c r="Q56" s="10">
        <v>0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46">
        <f t="shared" si="1"/>
        <v>0</v>
      </c>
      <c r="EA56" s="64"/>
      <c r="EB56" s="64"/>
      <c r="EC56" s="71">
        <f t="shared" si="0"/>
        <v>0</v>
      </c>
      <c r="ED56" s="70"/>
    </row>
    <row r="57" spans="1:134" x14ac:dyDescent="0.3">
      <c r="A57" s="55">
        <v>55</v>
      </c>
      <c r="B57" s="39" t="s">
        <v>105</v>
      </c>
      <c r="C57" s="40" t="s">
        <v>106</v>
      </c>
      <c r="D57" s="10">
        <v>0</v>
      </c>
      <c r="E57" s="10"/>
      <c r="F57" s="10"/>
      <c r="G57" s="10">
        <v>0</v>
      </c>
      <c r="H57" s="10">
        <v>0</v>
      </c>
      <c r="I57" s="10"/>
      <c r="J57" s="10"/>
      <c r="K57" s="10"/>
      <c r="L57" s="10">
        <v>0</v>
      </c>
      <c r="M57" s="10"/>
      <c r="N57" s="10"/>
      <c r="O57" s="10"/>
      <c r="P57" s="10"/>
      <c r="Q57" s="10">
        <v>0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46">
        <f t="shared" si="1"/>
        <v>0</v>
      </c>
      <c r="EA57" s="64"/>
      <c r="EB57" s="64"/>
      <c r="EC57" s="71">
        <f t="shared" si="0"/>
        <v>0</v>
      </c>
      <c r="ED57" s="70"/>
    </row>
    <row r="58" spans="1:134" x14ac:dyDescent="0.3">
      <c r="A58" s="55">
        <v>56</v>
      </c>
      <c r="B58" s="16" t="s">
        <v>107</v>
      </c>
      <c r="C58" s="17" t="s">
        <v>108</v>
      </c>
      <c r="D58" s="10">
        <v>0</v>
      </c>
      <c r="E58" s="10"/>
      <c r="F58" s="10"/>
      <c r="G58" s="10">
        <v>0</v>
      </c>
      <c r="H58" s="10">
        <v>0</v>
      </c>
      <c r="I58" s="10"/>
      <c r="J58" s="10"/>
      <c r="K58" s="10"/>
      <c r="L58" s="10">
        <v>0</v>
      </c>
      <c r="M58" s="10"/>
      <c r="N58" s="10"/>
      <c r="O58" s="10"/>
      <c r="P58" s="10"/>
      <c r="Q58" s="10">
        <v>0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287</v>
      </c>
      <c r="AC58" s="10"/>
      <c r="AD58" s="10"/>
      <c r="AE58" s="10"/>
      <c r="AF58" s="10"/>
      <c r="AG58" s="10"/>
      <c r="AH58" s="10">
        <v>233</v>
      </c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>
        <v>600</v>
      </c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>
        <v>600</v>
      </c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46">
        <f t="shared" si="1"/>
        <v>0</v>
      </c>
      <c r="EA58" s="64"/>
      <c r="EB58" s="64"/>
      <c r="EC58" s="71">
        <f t="shared" si="0"/>
        <v>0</v>
      </c>
      <c r="ED58" s="70"/>
    </row>
    <row r="59" spans="1:134" x14ac:dyDescent="0.3">
      <c r="A59" s="55">
        <v>57</v>
      </c>
      <c r="B59" s="16" t="s">
        <v>109</v>
      </c>
      <c r="C59" s="17" t="s">
        <v>110</v>
      </c>
      <c r="D59" s="10">
        <v>0</v>
      </c>
      <c r="E59" s="10"/>
      <c r="F59" s="10"/>
      <c r="G59" s="10">
        <v>0</v>
      </c>
      <c r="H59" s="10">
        <v>0</v>
      </c>
      <c r="I59" s="10"/>
      <c r="J59" s="10"/>
      <c r="K59" s="10"/>
      <c r="L59" s="10">
        <v>0</v>
      </c>
      <c r="M59" s="10"/>
      <c r="N59" s="10"/>
      <c r="O59" s="10"/>
      <c r="P59" s="10"/>
      <c r="Q59" s="10">
        <v>0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>
        <v>480</v>
      </c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>
        <v>600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>
        <v>600</v>
      </c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46">
        <f t="shared" si="1"/>
        <v>0</v>
      </c>
      <c r="EA59" s="64"/>
      <c r="EB59" s="64"/>
      <c r="EC59" s="71">
        <f t="shared" si="0"/>
        <v>0</v>
      </c>
      <c r="ED59" s="70"/>
    </row>
    <row r="60" spans="1:134" x14ac:dyDescent="0.3">
      <c r="A60" s="55">
        <v>58</v>
      </c>
      <c r="B60" s="16" t="s">
        <v>111</v>
      </c>
      <c r="C60" s="17" t="s">
        <v>112</v>
      </c>
      <c r="D60" s="10">
        <v>0</v>
      </c>
      <c r="E60" s="10"/>
      <c r="F60" s="10"/>
      <c r="G60" s="10">
        <v>0</v>
      </c>
      <c r="H60" s="10">
        <v>0</v>
      </c>
      <c r="I60" s="10"/>
      <c r="J60" s="10"/>
      <c r="K60" s="10"/>
      <c r="L60" s="10">
        <v>0</v>
      </c>
      <c r="M60" s="10"/>
      <c r="N60" s="10"/>
      <c r="O60" s="10"/>
      <c r="P60" s="10"/>
      <c r="Q60" s="10">
        <v>0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>
        <v>10929</v>
      </c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46">
        <f t="shared" si="1"/>
        <v>0</v>
      </c>
      <c r="EA60" s="64"/>
      <c r="EB60" s="64"/>
      <c r="EC60" s="71">
        <f t="shared" si="0"/>
        <v>0</v>
      </c>
      <c r="ED60" s="70"/>
    </row>
    <row r="61" spans="1:134" x14ac:dyDescent="0.3">
      <c r="A61" s="55">
        <v>59</v>
      </c>
      <c r="B61" s="16" t="s">
        <v>113</v>
      </c>
      <c r="C61" s="17" t="s">
        <v>114</v>
      </c>
      <c r="D61" s="34"/>
      <c r="E61" s="34"/>
      <c r="F61" s="10"/>
      <c r="G61" s="10"/>
      <c r="H61" s="10">
        <v>0</v>
      </c>
      <c r="I61" s="10"/>
      <c r="J61" s="10"/>
      <c r="K61" s="10"/>
      <c r="L61" s="10">
        <v>0</v>
      </c>
      <c r="M61" s="10"/>
      <c r="N61" s="10"/>
      <c r="O61" s="10"/>
      <c r="P61" s="10"/>
      <c r="Q61" s="10">
        <v>0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>
        <v>11000</v>
      </c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34"/>
      <c r="DQ61" s="10"/>
      <c r="DR61" s="10"/>
      <c r="DS61" s="10"/>
      <c r="DT61" s="10"/>
      <c r="DU61" s="10"/>
      <c r="DV61" s="10"/>
      <c r="DW61" s="10"/>
      <c r="DX61" s="10"/>
      <c r="DY61" s="10"/>
      <c r="DZ61" s="46">
        <f t="shared" si="1"/>
        <v>0</v>
      </c>
      <c r="EA61" s="64"/>
      <c r="EB61" s="64"/>
      <c r="EC61" s="71">
        <f t="shared" si="0"/>
        <v>0</v>
      </c>
      <c r="ED61" s="70"/>
    </row>
    <row r="62" spans="1:134" s="2" customFormat="1" ht="18" customHeight="1" x14ac:dyDescent="0.3">
      <c r="A62" s="72" t="s">
        <v>143</v>
      </c>
      <c r="B62" s="72"/>
      <c r="C62" s="72"/>
      <c r="D62" s="42">
        <f t="shared" ref="D62:AI62" si="2">SUM(D3:D61)</f>
        <v>1500</v>
      </c>
      <c r="E62" s="42">
        <f t="shared" si="2"/>
        <v>3129</v>
      </c>
      <c r="F62" s="42">
        <f t="shared" si="2"/>
        <v>985</v>
      </c>
      <c r="G62" s="42">
        <f t="shared" si="2"/>
        <v>4166</v>
      </c>
      <c r="H62" s="42">
        <f t="shared" si="2"/>
        <v>9359</v>
      </c>
      <c r="I62" s="42">
        <f t="shared" si="2"/>
        <v>4835</v>
      </c>
      <c r="J62" s="42">
        <f t="shared" si="2"/>
        <v>2160</v>
      </c>
      <c r="K62" s="42">
        <f t="shared" si="2"/>
        <v>1213</v>
      </c>
      <c r="L62" s="42">
        <f t="shared" si="2"/>
        <v>2775</v>
      </c>
      <c r="M62" s="42">
        <f t="shared" si="2"/>
        <v>3507</v>
      </c>
      <c r="N62" s="42">
        <f t="shared" si="2"/>
        <v>6397</v>
      </c>
      <c r="O62" s="42">
        <f t="shared" si="2"/>
        <v>0</v>
      </c>
      <c r="P62" s="42">
        <f t="shared" si="2"/>
        <v>1536</v>
      </c>
      <c r="Q62" s="42">
        <f t="shared" si="2"/>
        <v>3582</v>
      </c>
      <c r="R62" s="42">
        <f t="shared" si="2"/>
        <v>5493</v>
      </c>
      <c r="S62" s="42">
        <f t="shared" si="2"/>
        <v>202</v>
      </c>
      <c r="T62" s="42">
        <f t="shared" si="2"/>
        <v>8110</v>
      </c>
      <c r="U62" s="42">
        <f t="shared" si="2"/>
        <v>3755</v>
      </c>
      <c r="V62" s="42">
        <f t="shared" si="2"/>
        <v>3600</v>
      </c>
      <c r="W62" s="42">
        <f t="shared" si="2"/>
        <v>894</v>
      </c>
      <c r="X62" s="42">
        <f t="shared" si="2"/>
        <v>4865</v>
      </c>
      <c r="Y62" s="42">
        <f t="shared" si="2"/>
        <v>3718</v>
      </c>
      <c r="Z62" s="42">
        <f t="shared" si="2"/>
        <v>6585</v>
      </c>
      <c r="AA62" s="42">
        <f t="shared" si="2"/>
        <v>6274</v>
      </c>
      <c r="AB62" s="42">
        <f t="shared" si="2"/>
        <v>6624</v>
      </c>
      <c r="AC62" s="42">
        <f t="shared" si="2"/>
        <v>630</v>
      </c>
      <c r="AD62" s="42">
        <f t="shared" si="2"/>
        <v>0</v>
      </c>
      <c r="AE62" s="42">
        <f t="shared" si="2"/>
        <v>2110</v>
      </c>
      <c r="AF62" s="42">
        <f t="shared" si="2"/>
        <v>3901</v>
      </c>
      <c r="AG62" s="42">
        <f t="shared" si="2"/>
        <v>6242</v>
      </c>
      <c r="AH62" s="42">
        <f t="shared" si="2"/>
        <v>27862</v>
      </c>
      <c r="AI62" s="42">
        <f t="shared" si="2"/>
        <v>2316</v>
      </c>
      <c r="AJ62" s="42">
        <f t="shared" ref="AJ62:BO62" si="3">SUM(AJ3:AJ61)</f>
        <v>11344</v>
      </c>
      <c r="AK62" s="42">
        <f t="shared" si="3"/>
        <v>5760</v>
      </c>
      <c r="AL62" s="42">
        <f t="shared" si="3"/>
        <v>2020</v>
      </c>
      <c r="AM62" s="42">
        <f t="shared" si="3"/>
        <v>11788</v>
      </c>
      <c r="AN62" s="42">
        <f t="shared" si="3"/>
        <v>2420</v>
      </c>
      <c r="AO62" s="42">
        <f t="shared" si="3"/>
        <v>4091</v>
      </c>
      <c r="AP62" s="42">
        <f t="shared" si="3"/>
        <v>1430</v>
      </c>
      <c r="AQ62" s="42">
        <f t="shared" si="3"/>
        <v>2725</v>
      </c>
      <c r="AR62" s="42">
        <f t="shared" si="3"/>
        <v>6128</v>
      </c>
      <c r="AS62" s="42">
        <f t="shared" si="3"/>
        <v>834</v>
      </c>
      <c r="AT62" s="42">
        <f t="shared" si="3"/>
        <v>9681</v>
      </c>
      <c r="AU62" s="42">
        <f t="shared" si="3"/>
        <v>5110</v>
      </c>
      <c r="AV62" s="42">
        <f t="shared" si="3"/>
        <v>2470</v>
      </c>
      <c r="AW62" s="42">
        <f t="shared" si="3"/>
        <v>1440</v>
      </c>
      <c r="AX62" s="42">
        <f t="shared" si="3"/>
        <v>11250</v>
      </c>
      <c r="AY62" s="42">
        <f t="shared" si="3"/>
        <v>2740</v>
      </c>
      <c r="AZ62" s="42">
        <f t="shared" si="3"/>
        <v>2880</v>
      </c>
      <c r="BA62" s="42">
        <f t="shared" si="3"/>
        <v>5207</v>
      </c>
      <c r="BB62" s="42">
        <f t="shared" si="3"/>
        <v>3653</v>
      </c>
      <c r="BC62" s="42">
        <f t="shared" si="3"/>
        <v>4821</v>
      </c>
      <c r="BD62" s="42">
        <f t="shared" si="3"/>
        <v>1660</v>
      </c>
      <c r="BE62" s="42">
        <f t="shared" si="3"/>
        <v>2273</v>
      </c>
      <c r="BF62" s="42">
        <f t="shared" si="3"/>
        <v>8880</v>
      </c>
      <c r="BG62" s="42">
        <f t="shared" si="3"/>
        <v>5136</v>
      </c>
      <c r="BH62" s="42">
        <f t="shared" si="3"/>
        <v>14439</v>
      </c>
      <c r="BI62" s="42">
        <f t="shared" si="3"/>
        <v>3869</v>
      </c>
      <c r="BJ62" s="42">
        <f t="shared" si="3"/>
        <v>13076</v>
      </c>
      <c r="BK62" s="42">
        <f t="shared" si="3"/>
        <v>2628</v>
      </c>
      <c r="BL62" s="42">
        <f t="shared" si="3"/>
        <v>6540</v>
      </c>
      <c r="BM62" s="42">
        <f t="shared" si="3"/>
        <v>1100</v>
      </c>
      <c r="BN62" s="42">
        <f t="shared" si="3"/>
        <v>2460</v>
      </c>
      <c r="BO62" s="42">
        <f t="shared" si="3"/>
        <v>5112</v>
      </c>
      <c r="BP62" s="42">
        <f t="shared" ref="BP62:BU62" si="4">SUM(BP3:BP61)</f>
        <v>4187</v>
      </c>
      <c r="BQ62" s="42">
        <f t="shared" si="4"/>
        <v>1108</v>
      </c>
      <c r="BR62" s="42">
        <f t="shared" si="4"/>
        <v>2600</v>
      </c>
      <c r="BS62" s="42">
        <f t="shared" si="4"/>
        <v>2181</v>
      </c>
      <c r="BT62" s="42">
        <f t="shared" si="4"/>
        <v>1100</v>
      </c>
      <c r="BU62" s="42">
        <f t="shared" si="4"/>
        <v>3130</v>
      </c>
      <c r="BV62" s="42">
        <f t="shared" ref="BV62:DY62" si="5">SUM(BV3:BV61)</f>
        <v>1503</v>
      </c>
      <c r="BW62" s="42">
        <f t="shared" si="5"/>
        <v>2419</v>
      </c>
      <c r="BX62" s="42">
        <f t="shared" si="5"/>
        <v>5001</v>
      </c>
      <c r="BY62" s="42">
        <f t="shared" si="5"/>
        <v>2880</v>
      </c>
      <c r="BZ62" s="42">
        <f t="shared" si="5"/>
        <v>620</v>
      </c>
      <c r="CA62" s="42">
        <f t="shared" si="5"/>
        <v>7427</v>
      </c>
      <c r="CB62" s="42">
        <f t="shared" si="5"/>
        <v>5775</v>
      </c>
      <c r="CC62" s="42">
        <f>SUM(CC3:CC61)</f>
        <v>5703</v>
      </c>
      <c r="CD62" s="42">
        <f t="shared" si="5"/>
        <v>5741</v>
      </c>
      <c r="CE62" s="42">
        <f t="shared" si="5"/>
        <v>8867</v>
      </c>
      <c r="CF62" s="42">
        <f t="shared" si="5"/>
        <v>4426</v>
      </c>
      <c r="CG62" s="42">
        <f t="shared" si="5"/>
        <v>1853</v>
      </c>
      <c r="CH62" s="42">
        <f t="shared" si="5"/>
        <v>1255</v>
      </c>
      <c r="CI62" s="42">
        <f t="shared" si="5"/>
        <v>1559</v>
      </c>
      <c r="CJ62" s="42">
        <f t="shared" si="5"/>
        <v>6375</v>
      </c>
      <c r="CK62" s="42">
        <f t="shared" si="5"/>
        <v>4941</v>
      </c>
      <c r="CL62" s="42">
        <f t="shared" si="5"/>
        <v>5563</v>
      </c>
      <c r="CM62" s="42">
        <f t="shared" si="5"/>
        <v>7155</v>
      </c>
      <c r="CN62" s="42">
        <f t="shared" si="5"/>
        <v>4500</v>
      </c>
      <c r="CO62" s="42">
        <f t="shared" si="5"/>
        <v>6160</v>
      </c>
      <c r="CP62" s="42">
        <f t="shared" si="5"/>
        <v>3412</v>
      </c>
      <c r="CQ62" s="42">
        <f t="shared" si="5"/>
        <v>1228</v>
      </c>
      <c r="CR62" s="42">
        <f t="shared" si="5"/>
        <v>8325</v>
      </c>
      <c r="CS62" s="42">
        <f t="shared" si="5"/>
        <v>1440</v>
      </c>
      <c r="CT62" s="42">
        <f t="shared" si="5"/>
        <v>1800</v>
      </c>
      <c r="CU62" s="42">
        <f t="shared" si="5"/>
        <v>2728</v>
      </c>
      <c r="CV62" s="42">
        <f t="shared" si="5"/>
        <v>3400</v>
      </c>
      <c r="CW62" s="42">
        <f t="shared" si="5"/>
        <v>4500</v>
      </c>
      <c r="CX62" s="42">
        <f t="shared" si="5"/>
        <v>6140</v>
      </c>
      <c r="CY62" s="42">
        <f t="shared" si="5"/>
        <v>1964</v>
      </c>
      <c r="CZ62" s="42">
        <f t="shared" si="5"/>
        <v>1376</v>
      </c>
      <c r="DA62" s="42">
        <f t="shared" si="5"/>
        <v>9991</v>
      </c>
      <c r="DB62" s="42">
        <f t="shared" si="5"/>
        <v>655</v>
      </c>
      <c r="DC62" s="42">
        <f t="shared" si="5"/>
        <v>1755</v>
      </c>
      <c r="DD62" s="42">
        <f t="shared" si="5"/>
        <v>5615</v>
      </c>
      <c r="DE62" s="42">
        <f t="shared" si="5"/>
        <v>2580</v>
      </c>
      <c r="DF62" s="42">
        <f t="shared" si="5"/>
        <v>11615</v>
      </c>
      <c r="DG62" s="42">
        <f t="shared" si="5"/>
        <v>3040</v>
      </c>
      <c r="DH62" s="42">
        <f t="shared" si="5"/>
        <v>3118</v>
      </c>
      <c r="DI62" s="42">
        <f t="shared" si="5"/>
        <v>1212</v>
      </c>
      <c r="DJ62" s="42">
        <f t="shared" si="5"/>
        <v>5310</v>
      </c>
      <c r="DK62" s="42">
        <f t="shared" si="5"/>
        <v>4817</v>
      </c>
      <c r="DL62" s="42">
        <f t="shared" si="5"/>
        <v>13840</v>
      </c>
      <c r="DM62" s="42">
        <f t="shared" si="5"/>
        <v>2390</v>
      </c>
      <c r="DN62" s="42">
        <f t="shared" si="5"/>
        <v>3600</v>
      </c>
      <c r="DO62" s="42">
        <f t="shared" si="5"/>
        <v>5227</v>
      </c>
      <c r="DP62" s="42">
        <f t="shared" si="5"/>
        <v>2956</v>
      </c>
      <c r="DQ62" s="42">
        <f t="shared" si="5"/>
        <v>2500</v>
      </c>
      <c r="DR62" s="42">
        <f t="shared" si="5"/>
        <v>4332</v>
      </c>
      <c r="DS62" s="42">
        <f t="shared" si="5"/>
        <v>1728</v>
      </c>
      <c r="DT62" s="42">
        <f t="shared" si="5"/>
        <v>4904</v>
      </c>
      <c r="DU62" s="42">
        <f t="shared" si="5"/>
        <v>1670</v>
      </c>
      <c r="DV62" s="42">
        <f t="shared" si="5"/>
        <v>3570</v>
      </c>
      <c r="DW62" s="42">
        <f t="shared" si="5"/>
        <v>16298</v>
      </c>
      <c r="DX62" s="42">
        <f t="shared" si="5"/>
        <v>990</v>
      </c>
      <c r="DY62" s="42">
        <f t="shared" si="5"/>
        <v>36860</v>
      </c>
      <c r="DZ62" s="45">
        <f>SUM(DZ3:DZ61)</f>
        <v>75808</v>
      </c>
      <c r="EA62" s="65"/>
      <c r="EB62" s="65"/>
      <c r="EC62" s="66"/>
      <c r="ED62" s="65"/>
    </row>
    <row r="63" spans="1:134" x14ac:dyDescent="0.3">
      <c r="C63" s="18"/>
    </row>
    <row r="64" spans="1:134" x14ac:dyDescent="0.3">
      <c r="C64" s="18"/>
    </row>
    <row r="65" spans="3:134" x14ac:dyDescent="0.3">
      <c r="C65" s="53"/>
    </row>
    <row r="66" spans="3:134" x14ac:dyDescent="0.3">
      <c r="C66" s="3"/>
    </row>
    <row r="67" spans="3:134" x14ac:dyDescent="0.3">
      <c r="C67" s="3"/>
    </row>
    <row r="68" spans="3:134" x14ac:dyDescent="0.3">
      <c r="C68" s="19"/>
      <c r="DZ68" s="20"/>
      <c r="EA68" s="62"/>
      <c r="EB68" s="62"/>
      <c r="ED68" s="62"/>
    </row>
    <row r="69" spans="3:134" x14ac:dyDescent="0.3">
      <c r="C69" s="19"/>
    </row>
  </sheetData>
  <autoFilter ref="A2:DZ62" xr:uid="{7EBF7E4C-3DDB-4AC1-8BB9-26F2B4FCF60F}"/>
  <mergeCells count="1">
    <mergeCell ref="A62:C62"/>
  </mergeCells>
  <phoneticPr fontId="7" type="noConversion"/>
  <conditionalFormatting sqref="EC3:EC61">
    <cfRule type="cellIs" dxfId="0" priority="1" operator="greaterThanOrEqual">
      <formula>8</formula>
    </cfRule>
  </conditionalFormatting>
  <pageMargins left="0.7" right="0.7" top="0.75" bottom="0.75" header="0.3" footer="0.3"/>
  <pageSetup paperSize="9" orientation="portrait" r:id="rId1"/>
  <ignoredErrors>
    <ignoredError sqref="CC62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C753-DE90-496F-9D31-2129A8B29C3F}">
  <sheetPr>
    <tabColor theme="4" tint="0.79998168889431442"/>
  </sheetPr>
  <dimension ref="A2:BR7"/>
  <sheetViews>
    <sheetView zoomScaleNormal="100" workbookViewId="0">
      <pane xSplit="3" topLeftCell="D1" activePane="topRight" state="frozen"/>
      <selection activeCell="V1" sqref="V1:V1048576"/>
      <selection pane="topRight" activeCell="BM14" sqref="BM14"/>
    </sheetView>
  </sheetViews>
  <sheetFormatPr defaultRowHeight="16.5" x14ac:dyDescent="0.3"/>
  <cols>
    <col min="1" max="1" width="4.5" style="2" bestFit="1" customWidth="1"/>
    <col min="2" max="2" width="15.75" style="2" bestFit="1" customWidth="1"/>
    <col min="3" max="3" width="39.5" style="2" bestFit="1" customWidth="1"/>
    <col min="4" max="29" width="10.875" style="2" hidden="1" customWidth="1"/>
    <col min="30" max="61" width="12.625" style="2" hidden="1" customWidth="1"/>
    <col min="62" max="64" width="10.625" style="2" customWidth="1"/>
  </cols>
  <sheetData>
    <row r="2" spans="1:70" ht="27" x14ac:dyDescent="0.3">
      <c r="A2" s="4" t="s">
        <v>1</v>
      </c>
      <c r="B2" s="4" t="s">
        <v>2</v>
      </c>
      <c r="C2" s="5" t="s">
        <v>3</v>
      </c>
      <c r="D2" s="6">
        <v>45835</v>
      </c>
      <c r="E2" s="6">
        <v>45863</v>
      </c>
      <c r="F2" s="6">
        <v>45874</v>
      </c>
      <c r="G2" s="6">
        <v>45883</v>
      </c>
      <c r="H2" s="6">
        <v>45902</v>
      </c>
      <c r="I2" s="6">
        <v>45908</v>
      </c>
      <c r="J2" s="6">
        <v>45917</v>
      </c>
      <c r="K2" s="6">
        <v>45930</v>
      </c>
      <c r="L2" s="6">
        <v>45940</v>
      </c>
      <c r="M2" s="6">
        <v>45944</v>
      </c>
      <c r="N2" s="6">
        <v>45951</v>
      </c>
      <c r="O2" s="6">
        <v>45959</v>
      </c>
      <c r="P2" s="6">
        <v>45967</v>
      </c>
      <c r="Q2" s="6">
        <v>45979</v>
      </c>
      <c r="R2" s="6">
        <v>45986</v>
      </c>
      <c r="S2" s="6">
        <v>45993</v>
      </c>
      <c r="T2" s="6">
        <v>46006</v>
      </c>
      <c r="U2" s="6">
        <v>46008</v>
      </c>
      <c r="V2" s="6">
        <v>46013</v>
      </c>
      <c r="W2" s="6">
        <v>46017</v>
      </c>
      <c r="X2" s="6">
        <v>46020</v>
      </c>
      <c r="Y2" s="6">
        <v>46027</v>
      </c>
      <c r="Z2" s="6">
        <v>46037</v>
      </c>
      <c r="AA2" s="6">
        <v>46042</v>
      </c>
      <c r="AB2" s="6">
        <v>46045</v>
      </c>
      <c r="AC2" s="59">
        <v>46048</v>
      </c>
      <c r="AD2" s="59" t="s">
        <v>160</v>
      </c>
      <c r="AE2" s="59">
        <v>46065</v>
      </c>
      <c r="AF2" s="59">
        <v>46066</v>
      </c>
      <c r="AG2" s="59">
        <v>46073</v>
      </c>
      <c r="AH2" s="59">
        <v>46076</v>
      </c>
      <c r="AI2" s="59">
        <v>46086</v>
      </c>
      <c r="AJ2" s="59">
        <v>46090</v>
      </c>
      <c r="AK2" s="59">
        <v>46092</v>
      </c>
      <c r="AL2" s="59">
        <v>46098</v>
      </c>
      <c r="AM2" s="59">
        <v>46104</v>
      </c>
      <c r="AN2" s="59">
        <v>46106</v>
      </c>
      <c r="AO2" s="59">
        <v>46113</v>
      </c>
      <c r="AP2" s="59">
        <v>46115</v>
      </c>
      <c r="AQ2" s="59">
        <v>46120</v>
      </c>
      <c r="AR2" s="59">
        <v>46125</v>
      </c>
      <c r="AS2" s="59">
        <v>46128</v>
      </c>
      <c r="AT2" s="59">
        <v>46132</v>
      </c>
      <c r="AU2" s="59">
        <v>46134</v>
      </c>
      <c r="AV2" s="59">
        <v>46141</v>
      </c>
      <c r="AW2" s="59">
        <v>46142</v>
      </c>
      <c r="AX2" s="59">
        <v>46154</v>
      </c>
      <c r="AY2" s="59">
        <v>46155</v>
      </c>
      <c r="AZ2" s="59">
        <v>46160</v>
      </c>
      <c r="BA2" s="59">
        <v>46162</v>
      </c>
      <c r="BB2" s="59">
        <v>46164</v>
      </c>
      <c r="BC2" s="59">
        <v>46170</v>
      </c>
      <c r="BD2" s="59">
        <v>46181</v>
      </c>
      <c r="BE2" s="59">
        <v>46182</v>
      </c>
      <c r="BF2" s="59">
        <v>46183</v>
      </c>
      <c r="BG2" s="59">
        <v>46191</v>
      </c>
      <c r="BH2" s="59">
        <v>46192</v>
      </c>
      <c r="BI2" s="59">
        <v>46197</v>
      </c>
      <c r="BJ2" s="47" t="s">
        <v>170</v>
      </c>
      <c r="BK2" s="47" t="s">
        <v>171</v>
      </c>
      <c r="BL2" s="48" t="s">
        <v>4</v>
      </c>
      <c r="BN2" s="73"/>
      <c r="BO2" s="73"/>
      <c r="BP2" s="73"/>
      <c r="BQ2" s="73"/>
      <c r="BR2" s="73"/>
    </row>
    <row r="3" spans="1:70" ht="16.5" customHeight="1" x14ac:dyDescent="0.3">
      <c r="A3" s="7">
        <v>1</v>
      </c>
      <c r="B3" s="8" t="s">
        <v>115</v>
      </c>
      <c r="C3" s="9" t="s">
        <v>116</v>
      </c>
      <c r="D3" s="10">
        <v>1800</v>
      </c>
      <c r="E3" s="10"/>
      <c r="F3" s="10"/>
      <c r="G3" s="10">
        <f>1470+500</f>
        <v>1970</v>
      </c>
      <c r="H3" s="10"/>
      <c r="I3" s="10"/>
      <c r="J3" s="10">
        <v>1850</v>
      </c>
      <c r="K3" s="10">
        <v>4000</v>
      </c>
      <c r="L3" s="10"/>
      <c r="M3" s="10"/>
      <c r="N3" s="10"/>
      <c r="O3" s="10"/>
      <c r="P3" s="10">
        <v>2000</v>
      </c>
      <c r="Q3" s="10">
        <v>1480</v>
      </c>
      <c r="R3" s="10"/>
      <c r="S3" s="10"/>
      <c r="T3" s="10">
        <v>800</v>
      </c>
      <c r="U3" s="10">
        <v>1000</v>
      </c>
      <c r="V3" s="10">
        <v>2000</v>
      </c>
      <c r="W3" s="10"/>
      <c r="X3" s="10">
        <v>2000</v>
      </c>
      <c r="Y3" s="10">
        <v>1950</v>
      </c>
      <c r="Z3" s="10"/>
      <c r="AA3" s="10"/>
      <c r="AB3" s="10"/>
      <c r="AC3" s="10">
        <v>1721</v>
      </c>
      <c r="AD3" s="10"/>
      <c r="AE3" s="10">
        <v>3000</v>
      </c>
      <c r="AF3" s="10"/>
      <c r="AG3" s="10">
        <v>3000</v>
      </c>
      <c r="AH3" s="10"/>
      <c r="AI3" s="10"/>
      <c r="AJ3" s="10">
        <v>2350</v>
      </c>
      <c r="AK3" s="10"/>
      <c r="AL3" s="10">
        <v>750</v>
      </c>
      <c r="AM3" s="10"/>
      <c r="AN3" s="10">
        <v>3500</v>
      </c>
      <c r="AO3" s="10"/>
      <c r="AP3" s="10"/>
      <c r="AQ3" s="10"/>
      <c r="AR3" s="10"/>
      <c r="AS3" s="10"/>
      <c r="AT3" s="10"/>
      <c r="AU3" s="10">
        <v>3432</v>
      </c>
      <c r="AV3" s="10"/>
      <c r="AW3" s="10"/>
      <c r="AX3" s="10">
        <v>2000</v>
      </c>
      <c r="AY3" s="10"/>
      <c r="AZ3" s="10">
        <v>2000</v>
      </c>
      <c r="BA3" s="10"/>
      <c r="BB3" s="10">
        <v>1700</v>
      </c>
      <c r="BC3" s="10">
        <v>2400</v>
      </c>
      <c r="BD3" s="10"/>
      <c r="BE3" s="10"/>
      <c r="BF3" s="10">
        <v>3935</v>
      </c>
      <c r="BG3" s="10">
        <v>4137</v>
      </c>
      <c r="BH3" s="10"/>
      <c r="BI3" s="10"/>
      <c r="BJ3" s="10"/>
      <c r="BK3" s="10">
        <f>4000-(467)-BG3+(604)</f>
        <v>0</v>
      </c>
      <c r="BL3" s="49">
        <f>SUM(BJ3:BK3)</f>
        <v>0</v>
      </c>
      <c r="BN3" s="73"/>
      <c r="BO3" s="73"/>
      <c r="BP3" s="73"/>
      <c r="BQ3" s="73"/>
      <c r="BR3" s="73"/>
    </row>
    <row r="4" spans="1:70" x14ac:dyDescent="0.3">
      <c r="A4" s="7">
        <v>2</v>
      </c>
      <c r="B4" s="8" t="s">
        <v>117</v>
      </c>
      <c r="C4" s="9" t="s">
        <v>118</v>
      </c>
      <c r="D4" s="10">
        <v>3000</v>
      </c>
      <c r="E4" s="10"/>
      <c r="F4" s="10"/>
      <c r="G4" s="10">
        <v>2193</v>
      </c>
      <c r="H4" s="10"/>
      <c r="I4" s="10"/>
      <c r="J4" s="10">
        <v>1700</v>
      </c>
      <c r="K4" s="10">
        <v>4000</v>
      </c>
      <c r="L4" s="10"/>
      <c r="M4" s="10"/>
      <c r="N4" s="10"/>
      <c r="O4" s="10"/>
      <c r="P4" s="10">
        <v>2000</v>
      </c>
      <c r="Q4" s="10">
        <v>779</v>
      </c>
      <c r="R4" s="10"/>
      <c r="S4" s="10"/>
      <c r="T4" s="10">
        <v>800</v>
      </c>
      <c r="U4" s="10">
        <v>1000</v>
      </c>
      <c r="V4" s="10">
        <v>2000</v>
      </c>
      <c r="W4" s="10"/>
      <c r="X4" s="10">
        <v>1600</v>
      </c>
      <c r="Y4" s="10">
        <v>1850</v>
      </c>
      <c r="Z4" s="10">
        <v>2000</v>
      </c>
      <c r="AA4" s="10"/>
      <c r="AB4" s="10"/>
      <c r="AC4" s="10">
        <v>2288</v>
      </c>
      <c r="AD4" s="10"/>
      <c r="AE4" s="10">
        <v>3000</v>
      </c>
      <c r="AF4" s="10"/>
      <c r="AG4" s="10">
        <v>113</v>
      </c>
      <c r="AH4" s="10"/>
      <c r="AI4" s="10">
        <v>994</v>
      </c>
      <c r="AJ4" s="10"/>
      <c r="AK4" s="10"/>
      <c r="AL4" s="10">
        <v>2027</v>
      </c>
      <c r="AM4" s="10">
        <v>2050</v>
      </c>
      <c r="AN4" s="10"/>
      <c r="AO4" s="10">
        <v>2000</v>
      </c>
      <c r="AP4" s="10">
        <v>485</v>
      </c>
      <c r="AQ4" s="10"/>
      <c r="AR4" s="10"/>
      <c r="AS4" s="10">
        <v>1250</v>
      </c>
      <c r="AT4" s="10">
        <v>2811</v>
      </c>
      <c r="AU4" s="10"/>
      <c r="AV4" s="10"/>
      <c r="AW4" s="10"/>
      <c r="AX4" s="10">
        <v>3044</v>
      </c>
      <c r="AY4" s="10"/>
      <c r="AZ4" s="10">
        <v>2000</v>
      </c>
      <c r="BA4" s="10">
        <v>2000</v>
      </c>
      <c r="BB4" s="10"/>
      <c r="BC4" s="10"/>
      <c r="BD4" s="10">
        <v>4039</v>
      </c>
      <c r="BE4" s="10"/>
      <c r="BF4" s="10"/>
      <c r="BG4" s="10">
        <v>1500</v>
      </c>
      <c r="BH4" s="10"/>
      <c r="BI4" s="10"/>
      <c r="BJ4" s="10"/>
      <c r="BK4" s="10">
        <f>4000-(644)</f>
        <v>3356</v>
      </c>
      <c r="BL4" s="49">
        <f>SUM(BJ4:BK4)</f>
        <v>3356</v>
      </c>
      <c r="BN4" s="73"/>
      <c r="BO4" s="73"/>
      <c r="BP4" s="73"/>
      <c r="BQ4" s="73"/>
      <c r="BR4" s="73"/>
    </row>
    <row r="5" spans="1:70" x14ac:dyDescent="0.3">
      <c r="A5" s="7">
        <v>3</v>
      </c>
      <c r="B5" s="8" t="s">
        <v>119</v>
      </c>
      <c r="C5" s="9" t="s">
        <v>120</v>
      </c>
      <c r="D5" s="10"/>
      <c r="E5" s="10"/>
      <c r="F5" s="10"/>
      <c r="G5" s="10">
        <v>3000</v>
      </c>
      <c r="H5" s="10"/>
      <c r="I5" s="10"/>
      <c r="J5" s="10">
        <v>1672</v>
      </c>
      <c r="K5" s="10">
        <v>3859</v>
      </c>
      <c r="L5" s="10"/>
      <c r="M5" s="10"/>
      <c r="N5" s="10"/>
      <c r="O5" s="10"/>
      <c r="P5" s="10">
        <v>1584</v>
      </c>
      <c r="Q5" s="10">
        <v>1800</v>
      </c>
      <c r="R5" s="10">
        <v>1247</v>
      </c>
      <c r="S5" s="10"/>
      <c r="T5" s="10">
        <v>800</v>
      </c>
      <c r="U5" s="10">
        <v>1000</v>
      </c>
      <c r="V5" s="10">
        <v>500</v>
      </c>
      <c r="W5" s="10"/>
      <c r="X5" s="10"/>
      <c r="Y5" s="10">
        <v>2900</v>
      </c>
      <c r="Z5" s="10">
        <v>3200</v>
      </c>
      <c r="AA5" s="10">
        <v>1763</v>
      </c>
      <c r="AB5" s="10"/>
      <c r="AC5" s="10"/>
      <c r="AD5" s="10"/>
      <c r="AE5" s="10"/>
      <c r="AF5" s="10"/>
      <c r="AG5" s="10">
        <v>3000</v>
      </c>
      <c r="AH5" s="10"/>
      <c r="AI5" s="10"/>
      <c r="AJ5" s="10"/>
      <c r="AK5" s="10"/>
      <c r="AL5" s="10">
        <v>3030</v>
      </c>
      <c r="AM5" s="10">
        <v>2141</v>
      </c>
      <c r="AN5" s="10"/>
      <c r="AO5" s="10">
        <v>1000</v>
      </c>
      <c r="AP5" s="10">
        <v>2161</v>
      </c>
      <c r="AQ5" s="10"/>
      <c r="AR5" s="10"/>
      <c r="AS5" s="10">
        <v>2000</v>
      </c>
      <c r="AT5" s="10">
        <v>2032</v>
      </c>
      <c r="AU5" s="10"/>
      <c r="AV5" s="10"/>
      <c r="AW5" s="10"/>
      <c r="AX5" s="10">
        <v>2000</v>
      </c>
      <c r="AY5" s="10">
        <v>1300</v>
      </c>
      <c r="AZ5" s="10">
        <v>1200</v>
      </c>
      <c r="BA5" s="10"/>
      <c r="BB5" s="10">
        <v>500</v>
      </c>
      <c r="BC5" s="10">
        <v>4000</v>
      </c>
      <c r="BD5" s="10">
        <v>500</v>
      </c>
      <c r="BE5" s="10"/>
      <c r="BF5" s="10"/>
      <c r="BG5" s="10"/>
      <c r="BH5" s="10">
        <v>4441</v>
      </c>
      <c r="BI5" s="10">
        <v>3559</v>
      </c>
      <c r="BJ5" s="10"/>
      <c r="BK5" s="10">
        <f>4000-(1973)-BI5+(1532)</f>
        <v>0</v>
      </c>
      <c r="BL5" s="49">
        <f>SUM(BJ5:BK5)</f>
        <v>0</v>
      </c>
      <c r="BN5" s="52"/>
    </row>
    <row r="6" spans="1:70" s="2" customFormat="1" ht="16.5" customHeight="1" x14ac:dyDescent="0.3">
      <c r="A6" s="7">
        <v>4</v>
      </c>
      <c r="B6" s="8" t="s">
        <v>138</v>
      </c>
      <c r="C6" s="9" t="s">
        <v>139</v>
      </c>
      <c r="D6" s="34"/>
      <c r="E6" s="34">
        <v>700</v>
      </c>
      <c r="F6" s="34">
        <v>700</v>
      </c>
      <c r="G6" s="34"/>
      <c r="H6" s="10">
        <v>500</v>
      </c>
      <c r="I6" s="10">
        <v>400</v>
      </c>
      <c r="J6" s="10">
        <v>500</v>
      </c>
      <c r="K6" s="10"/>
      <c r="L6" s="10">
        <v>1000</v>
      </c>
      <c r="M6" s="10">
        <v>700</v>
      </c>
      <c r="N6" s="10">
        <v>665</v>
      </c>
      <c r="O6" s="10">
        <v>900</v>
      </c>
      <c r="P6" s="10"/>
      <c r="Q6" s="10">
        <v>400</v>
      </c>
      <c r="R6" s="10">
        <v>710</v>
      </c>
      <c r="S6" s="10">
        <v>1560</v>
      </c>
      <c r="T6" s="10"/>
      <c r="U6" s="10"/>
      <c r="V6" s="10"/>
      <c r="W6" s="10">
        <v>960</v>
      </c>
      <c r="X6" s="10">
        <v>345</v>
      </c>
      <c r="Y6" s="10"/>
      <c r="Z6" s="10"/>
      <c r="AA6" s="10"/>
      <c r="AB6" s="10">
        <v>1000</v>
      </c>
      <c r="AC6" s="10"/>
      <c r="AD6" s="10">
        <v>960</v>
      </c>
      <c r="AE6" s="10"/>
      <c r="AF6" s="10">
        <v>480</v>
      </c>
      <c r="AG6" s="10"/>
      <c r="AH6" s="10">
        <v>1320</v>
      </c>
      <c r="AI6" s="10"/>
      <c r="AJ6" s="10">
        <v>2760</v>
      </c>
      <c r="AK6" s="10">
        <v>480</v>
      </c>
      <c r="AL6" s="10"/>
      <c r="AM6" s="10"/>
      <c r="AN6" s="10">
        <v>1200</v>
      </c>
      <c r="AO6" s="10"/>
      <c r="AP6" s="10"/>
      <c r="AQ6" s="10">
        <v>570</v>
      </c>
      <c r="AR6" s="10">
        <v>680</v>
      </c>
      <c r="AS6" s="10"/>
      <c r="AT6" s="10"/>
      <c r="AU6" s="10"/>
      <c r="AV6" s="10">
        <v>1560</v>
      </c>
      <c r="AW6" s="10">
        <v>400</v>
      </c>
      <c r="AX6" s="10"/>
      <c r="AY6" s="10"/>
      <c r="AZ6" s="10"/>
      <c r="BA6" s="10"/>
      <c r="BB6" s="10"/>
      <c r="BC6" s="10"/>
      <c r="BD6" s="10"/>
      <c r="BE6" s="10">
        <v>910</v>
      </c>
      <c r="BF6" s="10"/>
      <c r="BG6" s="10"/>
      <c r="BH6" s="10"/>
      <c r="BI6" s="10"/>
      <c r="BJ6" s="10">
        <f>2400-BE6</f>
        <v>1490</v>
      </c>
      <c r="BK6" s="10"/>
      <c r="BL6" s="49">
        <f>SUM(BJ6:BK6)</f>
        <v>1490</v>
      </c>
    </row>
    <row r="7" spans="1:70" s="51" customFormat="1" x14ac:dyDescent="0.3">
      <c r="A7" s="72" t="s">
        <v>143</v>
      </c>
      <c r="B7" s="72"/>
      <c r="C7" s="72"/>
      <c r="D7" s="57">
        <f>SUM(D3:D6)</f>
        <v>4800</v>
      </c>
      <c r="E7" s="57">
        <f t="shared" ref="E7:J7" si="0">SUM(E3:E6)</f>
        <v>700</v>
      </c>
      <c r="F7" s="57">
        <f t="shared" si="0"/>
        <v>700</v>
      </c>
      <c r="G7" s="57">
        <f t="shared" si="0"/>
        <v>7163</v>
      </c>
      <c r="H7" s="57">
        <f t="shared" si="0"/>
        <v>500</v>
      </c>
      <c r="I7" s="57">
        <f t="shared" si="0"/>
        <v>400</v>
      </c>
      <c r="J7" s="57">
        <f t="shared" si="0"/>
        <v>5722</v>
      </c>
      <c r="K7" s="57">
        <f t="shared" ref="K7:L7" si="1">SUM(K3:K6)</f>
        <v>11859</v>
      </c>
      <c r="L7" s="57">
        <f t="shared" si="1"/>
        <v>1000</v>
      </c>
      <c r="M7" s="57">
        <f t="shared" ref="M7:O7" si="2">SUM(M3:M6)</f>
        <v>700</v>
      </c>
      <c r="N7" s="57">
        <f t="shared" si="2"/>
        <v>665</v>
      </c>
      <c r="O7" s="57">
        <f t="shared" si="2"/>
        <v>900</v>
      </c>
      <c r="P7" s="57">
        <f t="shared" ref="P7:Q7" si="3">SUM(P3:P6)</f>
        <v>5584</v>
      </c>
      <c r="Q7" s="57">
        <f t="shared" si="3"/>
        <v>4459</v>
      </c>
      <c r="R7" s="57">
        <f t="shared" ref="R7:S7" si="4">SUM(R3:R6)</f>
        <v>1957</v>
      </c>
      <c r="S7" s="57">
        <f t="shared" si="4"/>
        <v>1560</v>
      </c>
      <c r="T7" s="57">
        <f t="shared" ref="T7" si="5">SUM(T3:T6)</f>
        <v>2400</v>
      </c>
      <c r="U7" s="57">
        <f t="shared" ref="U7:V7" si="6">SUM(U3:U6)</f>
        <v>3000</v>
      </c>
      <c r="V7" s="57">
        <f t="shared" si="6"/>
        <v>4500</v>
      </c>
      <c r="W7" s="57">
        <f t="shared" ref="W7" si="7">SUM(W3:W6)</f>
        <v>960</v>
      </c>
      <c r="X7" s="57">
        <f>SUM(X3:X6)</f>
        <v>3945</v>
      </c>
      <c r="Y7" s="57">
        <f>SUM(Y3:Y6)</f>
        <v>6700</v>
      </c>
      <c r="Z7" s="57">
        <f>SUM(Z3:Z6)</f>
        <v>5200</v>
      </c>
      <c r="AA7" s="57">
        <f>SUM(AA3:AA6)</f>
        <v>1763</v>
      </c>
      <c r="AB7" s="57">
        <f>SUM(AB3:AB6)</f>
        <v>1000</v>
      </c>
      <c r="AC7" s="58">
        <f t="shared" ref="AC7:BK7" si="8">SUM(AC3:AC6)</f>
        <v>4009</v>
      </c>
      <c r="AD7" s="58">
        <f t="shared" si="8"/>
        <v>960</v>
      </c>
      <c r="AE7" s="58">
        <f t="shared" si="8"/>
        <v>6000</v>
      </c>
      <c r="AF7" s="58">
        <f t="shared" si="8"/>
        <v>480</v>
      </c>
      <c r="AG7" s="58">
        <f t="shared" si="8"/>
        <v>6113</v>
      </c>
      <c r="AH7" s="58">
        <f t="shared" si="8"/>
        <v>1320</v>
      </c>
      <c r="AI7" s="58">
        <f>SUM(AI3:AI6)</f>
        <v>994</v>
      </c>
      <c r="AJ7" s="58">
        <f t="shared" si="8"/>
        <v>5110</v>
      </c>
      <c r="AK7" s="58">
        <f t="shared" si="8"/>
        <v>480</v>
      </c>
      <c r="AL7" s="58">
        <f t="shared" si="8"/>
        <v>5807</v>
      </c>
      <c r="AM7" s="58">
        <f t="shared" si="8"/>
        <v>4191</v>
      </c>
      <c r="AN7" s="58">
        <f t="shared" si="8"/>
        <v>4700</v>
      </c>
      <c r="AO7" s="58">
        <f t="shared" si="8"/>
        <v>3000</v>
      </c>
      <c r="AP7" s="58">
        <f t="shared" si="8"/>
        <v>2646</v>
      </c>
      <c r="AQ7" s="58">
        <f t="shared" si="8"/>
        <v>570</v>
      </c>
      <c r="AR7" s="58">
        <f t="shared" si="8"/>
        <v>680</v>
      </c>
      <c r="AS7" s="58">
        <f t="shared" si="8"/>
        <v>3250</v>
      </c>
      <c r="AT7" s="58">
        <f t="shared" si="8"/>
        <v>4843</v>
      </c>
      <c r="AU7" s="58">
        <f t="shared" si="8"/>
        <v>3432</v>
      </c>
      <c r="AV7" s="58">
        <f t="shared" si="8"/>
        <v>1560</v>
      </c>
      <c r="AW7" s="58">
        <f t="shared" si="8"/>
        <v>400</v>
      </c>
      <c r="AX7" s="58">
        <f t="shared" si="8"/>
        <v>7044</v>
      </c>
      <c r="AY7" s="58">
        <f t="shared" si="8"/>
        <v>1300</v>
      </c>
      <c r="AZ7" s="58">
        <f t="shared" si="8"/>
        <v>5200</v>
      </c>
      <c r="BA7" s="58">
        <f t="shared" si="8"/>
        <v>2000</v>
      </c>
      <c r="BB7" s="58">
        <f t="shared" si="8"/>
        <v>2200</v>
      </c>
      <c r="BC7" s="58">
        <f t="shared" si="8"/>
        <v>6400</v>
      </c>
      <c r="BD7" s="58"/>
      <c r="BE7" s="58">
        <f t="shared" si="8"/>
        <v>910</v>
      </c>
      <c r="BF7" s="58">
        <f t="shared" si="8"/>
        <v>3935</v>
      </c>
      <c r="BG7" s="58">
        <f t="shared" si="8"/>
        <v>5637</v>
      </c>
      <c r="BH7" s="58">
        <f t="shared" si="8"/>
        <v>4441</v>
      </c>
      <c r="BI7" s="58">
        <f t="shared" si="8"/>
        <v>3559</v>
      </c>
      <c r="BJ7" s="58">
        <f t="shared" si="8"/>
        <v>1490</v>
      </c>
      <c r="BK7" s="58">
        <f t="shared" si="8"/>
        <v>3356</v>
      </c>
      <c r="BL7" s="49">
        <f>SUM(BJ7:BK7)</f>
        <v>4846</v>
      </c>
    </row>
  </sheetData>
  <mergeCells count="4">
    <mergeCell ref="A7:C7"/>
    <mergeCell ref="BN3:BR3"/>
    <mergeCell ref="BN4:BR4"/>
    <mergeCell ref="BN2:BR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BABE-F582-455D-983B-61EEE6356DFC}">
  <sheetPr>
    <tabColor theme="4" tint="0.79998168889431442"/>
  </sheetPr>
  <dimension ref="A1:S5"/>
  <sheetViews>
    <sheetView zoomScaleNormal="100" workbookViewId="0">
      <pane xSplit="3" topLeftCell="D1" activePane="topRight" state="frozen"/>
      <selection activeCell="V1" sqref="V1:V1048576"/>
      <selection pane="topRight" activeCell="X7" sqref="X7"/>
    </sheetView>
  </sheetViews>
  <sheetFormatPr defaultRowHeight="16.5" x14ac:dyDescent="0.3"/>
  <cols>
    <col min="1" max="1" width="4.5" style="2" bestFit="1" customWidth="1"/>
    <col min="2" max="2" width="15.75" style="2" bestFit="1" customWidth="1"/>
    <col min="3" max="3" width="31.625" style="2" bestFit="1" customWidth="1"/>
    <col min="4" max="5" width="10.5" style="2" hidden="1" customWidth="1"/>
    <col min="6" max="17" width="10.875" style="2" hidden="1" customWidth="1"/>
    <col min="18" max="18" width="10.875" style="2" customWidth="1"/>
    <col min="19" max="19" width="8.5" style="2" customWidth="1"/>
  </cols>
  <sheetData>
    <row r="1" spans="1:19" x14ac:dyDescent="0.3">
      <c r="S1" s="2" t="s">
        <v>161</v>
      </c>
    </row>
    <row r="2" spans="1:19" ht="24" x14ac:dyDescent="0.3">
      <c r="A2" s="4" t="s">
        <v>1</v>
      </c>
      <c r="B2" s="4" t="s">
        <v>2</v>
      </c>
      <c r="C2" s="5" t="s">
        <v>3</v>
      </c>
      <c r="D2" s="6">
        <v>45835</v>
      </c>
      <c r="E2" s="6">
        <v>45946</v>
      </c>
      <c r="F2" s="6">
        <v>45958</v>
      </c>
      <c r="G2" s="6">
        <v>45964</v>
      </c>
      <c r="H2" s="6">
        <v>46020</v>
      </c>
      <c r="I2" s="6">
        <v>46037</v>
      </c>
      <c r="J2" s="6">
        <v>46043</v>
      </c>
      <c r="K2" s="6">
        <v>46051</v>
      </c>
      <c r="L2" s="6">
        <v>46056</v>
      </c>
      <c r="M2" s="6">
        <v>46063</v>
      </c>
      <c r="N2" s="6">
        <v>46087</v>
      </c>
      <c r="O2" s="6">
        <v>46092</v>
      </c>
      <c r="P2" s="6">
        <v>46164</v>
      </c>
      <c r="Q2" s="6">
        <v>46182</v>
      </c>
      <c r="R2" s="47" t="s">
        <v>162</v>
      </c>
      <c r="S2" s="48" t="s">
        <v>4</v>
      </c>
    </row>
    <row r="3" spans="1:19" x14ac:dyDescent="0.3">
      <c r="A3" s="7">
        <v>1</v>
      </c>
      <c r="B3" s="8" t="s">
        <v>144</v>
      </c>
      <c r="C3" s="9" t="s">
        <v>145</v>
      </c>
      <c r="D3" s="10">
        <v>1800</v>
      </c>
      <c r="E3" s="10"/>
      <c r="F3" s="10">
        <v>1200</v>
      </c>
      <c r="G3" s="10"/>
      <c r="H3" s="10">
        <f>135*2</f>
        <v>270</v>
      </c>
      <c r="I3" s="10">
        <v>270</v>
      </c>
      <c r="J3" s="10">
        <v>480</v>
      </c>
      <c r="K3" s="10"/>
      <c r="L3" s="10">
        <v>480</v>
      </c>
      <c r="M3" s="10">
        <v>240</v>
      </c>
      <c r="N3" s="10">
        <v>240</v>
      </c>
      <c r="O3" s="10">
        <f>13*40*3</f>
        <v>1560</v>
      </c>
      <c r="P3" s="10">
        <f>40*3</f>
        <v>120</v>
      </c>
      <c r="Q3" s="10">
        <f>120*2</f>
        <v>240</v>
      </c>
      <c r="R3" s="10">
        <f>600-P3-Q3</f>
        <v>240</v>
      </c>
      <c r="S3" s="61">
        <f>SUM(R3)</f>
        <v>240</v>
      </c>
    </row>
    <row r="4" spans="1:19" x14ac:dyDescent="0.3">
      <c r="A4" s="7">
        <v>1</v>
      </c>
      <c r="B4" s="8" t="s">
        <v>158</v>
      </c>
      <c r="C4" s="9" t="s">
        <v>159</v>
      </c>
      <c r="D4" s="10"/>
      <c r="E4" s="10">
        <v>720</v>
      </c>
      <c r="F4" s="10">
        <v>288</v>
      </c>
      <c r="G4" s="10">
        <v>567</v>
      </c>
      <c r="H4" s="10">
        <v>270</v>
      </c>
      <c r="I4" s="10"/>
      <c r="J4" s="10"/>
      <c r="K4" s="10">
        <v>2304</v>
      </c>
      <c r="L4" s="10"/>
      <c r="M4" s="10"/>
      <c r="N4" s="10"/>
      <c r="O4" s="10"/>
      <c r="P4" s="10"/>
      <c r="Q4" s="10"/>
      <c r="R4" s="10">
        <v>0</v>
      </c>
      <c r="S4" s="61">
        <f>SUM(R4)</f>
        <v>0</v>
      </c>
    </row>
    <row r="5" spans="1:19" x14ac:dyDescent="0.3">
      <c r="A5" s="72" t="s">
        <v>143</v>
      </c>
      <c r="B5" s="72"/>
      <c r="C5" s="72"/>
      <c r="D5" s="35"/>
      <c r="E5" s="35"/>
      <c r="F5" s="35"/>
      <c r="G5" s="35"/>
      <c r="H5" s="35"/>
      <c r="I5" s="35"/>
      <c r="J5" s="35"/>
      <c r="K5" s="35"/>
      <c r="L5" s="35"/>
      <c r="M5" s="35"/>
      <c r="N5" s="60">
        <f t="shared" ref="N5:S5" si="0">SUM(N3:N4)</f>
        <v>240</v>
      </c>
      <c r="O5" s="60">
        <f t="shared" si="0"/>
        <v>1560</v>
      </c>
      <c r="P5" s="58">
        <f t="shared" si="0"/>
        <v>120</v>
      </c>
      <c r="Q5" s="58">
        <f t="shared" si="0"/>
        <v>240</v>
      </c>
      <c r="R5" s="58">
        <f t="shared" si="0"/>
        <v>240</v>
      </c>
      <c r="S5" s="49">
        <f t="shared" si="0"/>
        <v>240</v>
      </c>
    </row>
  </sheetData>
  <mergeCells count="1">
    <mergeCell ref="A5:C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국내상품스케줄</vt:lpstr>
      <vt:lpstr>펫원</vt:lpstr>
      <vt:lpstr>원발란스</vt:lpstr>
      <vt:lpstr>샌드원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경영지원 더주스</cp:lastModifiedBy>
  <dcterms:created xsi:type="dcterms:W3CDTF">2025-06-18T08:11:45Z</dcterms:created>
  <dcterms:modified xsi:type="dcterms:W3CDTF">2026-06-25T08:46:38Z</dcterms:modified>
</cp:coreProperties>
</file>